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defaultThemeVersion="202300"/>
  <mc:AlternateContent xmlns:mc="http://schemas.openxmlformats.org/markup-compatibility/2006">
    <mc:Choice Requires="x15">
      <x15ac:absPath xmlns:x15ac="http://schemas.microsoft.com/office/spreadsheetml/2010/11/ac" url="https://d.docs.live.net/c68653f5b09f2b0a/"/>
    </mc:Choice>
  </mc:AlternateContent>
  <xr:revisionPtr revIDLastSave="426" documentId="8_{F8B353A7-E45B-8243-BC27-80F6DDB2D70D}" xr6:coauthVersionLast="47" xr6:coauthVersionMax="47" xr10:uidLastSave="{6BF909E9-C632-734E-A4DD-4FCD62CB997D}"/>
  <bookViews>
    <workbookView xWindow="-26740" yWindow="-5620" windowWidth="26740" windowHeight="27140" activeTab="1" xr2:uid="{8D9810F0-6EB6-6748-9C73-035745800176}"/>
  </bookViews>
  <sheets>
    <sheet name="SMB Summary" sheetId="3" r:id="rId1"/>
    <sheet name="tblSMB" sheetId="2" r:id="rId2"/>
  </sheets>
  <definedNames>
    <definedName name="ExternalData_1" localSheetId="1" hidden="1">tblSMB!$A$1:$X$201</definedName>
    <definedName name="Slicer_category">#N/A</definedName>
    <definedName name="Slicer_city">#N/A</definedName>
    <definedName name="Slicer_segment">#N/A</definedName>
  </definedNames>
  <calcPr calcId="181029"/>
  <pivotCaches>
    <pivotCache cacheId="6"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 i="2" l="1"/>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T172" i="2" a="1"/>
  <c r="T172" i="2" s="1"/>
  <c r="T198" i="2" a="1"/>
  <c r="T198" i="2" s="1"/>
  <c r="T186" i="2" a="1"/>
  <c r="T186" i="2" s="1"/>
  <c r="T173" i="2" a="1"/>
  <c r="T173" i="2" s="1"/>
  <c r="T86" i="2" a="1"/>
  <c r="T86" i="2" s="1"/>
  <c r="T151" i="2" a="1"/>
  <c r="T151" i="2" s="1"/>
  <c r="T195" i="2" a="1"/>
  <c r="T195" i="2" s="1"/>
  <c r="T95" i="2" a="1"/>
  <c r="T95" i="2" s="1"/>
  <c r="T11" i="2" a="1"/>
  <c r="T11" i="2" s="1"/>
  <c r="T134" i="2" a="1"/>
  <c r="T134" i="2" s="1"/>
  <c r="T93" i="2" a="1"/>
  <c r="T93" i="2" s="1"/>
  <c r="T196" i="2" a="1"/>
  <c r="T196" i="2" s="1"/>
  <c r="T51" i="2" a="1"/>
  <c r="T51" i="2" s="1"/>
  <c r="T13" i="2" a="1"/>
  <c r="T13" i="2" s="1"/>
  <c r="T52" i="2" a="1"/>
  <c r="T52" i="2" s="1"/>
  <c r="T142" i="2" a="1"/>
  <c r="T142" i="2" s="1"/>
  <c r="T144" i="2" a="1"/>
  <c r="T144" i="2" s="1"/>
  <c r="T171" i="2" a="1"/>
  <c r="T171" i="2" s="1"/>
  <c r="T103" i="2" a="1"/>
  <c r="T103" i="2" s="1"/>
  <c r="T30" i="2" a="1"/>
  <c r="T30" i="2" s="1"/>
  <c r="T181" i="2" a="1"/>
  <c r="T181" i="2" s="1"/>
  <c r="T18" i="2" a="1"/>
  <c r="T18" i="2" s="1"/>
  <c r="T31" i="2" a="1"/>
  <c r="T31" i="2" s="1"/>
  <c r="T6" i="2" a="1"/>
  <c r="T6" i="2" s="1"/>
  <c r="T158" i="2" a="1"/>
  <c r="T158" i="2" s="1"/>
  <c r="T8" i="2" a="1"/>
  <c r="T8" i="2" s="1"/>
  <c r="T19" i="2" a="1"/>
  <c r="T19" i="2" s="1"/>
  <c r="T20" i="2" a="1"/>
  <c r="T20" i="2" s="1"/>
  <c r="T21" i="2" a="1"/>
  <c r="T21" i="2" s="1"/>
  <c r="T24" i="2" a="1"/>
  <c r="T24" i="2" s="1"/>
  <c r="T187" i="2" a="1"/>
  <c r="T187" i="2" s="1"/>
  <c r="T147" i="2" a="1"/>
  <c r="T147" i="2" s="1"/>
  <c r="T2" i="2" a="1"/>
  <c r="T2" i="2" s="1"/>
  <c r="T56" i="2" a="1"/>
  <c r="T56" i="2" s="1"/>
  <c r="T124" i="2" a="1"/>
  <c r="T124" i="2" s="1"/>
  <c r="T53" i="2" a="1"/>
  <c r="T53" i="2" s="1"/>
  <c r="T200" i="2" a="1"/>
  <c r="T200" i="2" s="1"/>
  <c r="T105" i="2" a="1"/>
  <c r="T105" i="2" s="1"/>
  <c r="T190" i="2" a="1"/>
  <c r="T190" i="2" s="1"/>
  <c r="T160" i="2" a="1"/>
  <c r="T160" i="2" s="1"/>
  <c r="T175" i="2" a="1"/>
  <c r="T175" i="2" s="1"/>
  <c r="T163" i="2" a="1"/>
  <c r="T163" i="2" s="1"/>
  <c r="T182" i="2" a="1"/>
  <c r="T182" i="2" s="1"/>
  <c r="T185" i="2" a="1"/>
  <c r="T185" i="2" s="1"/>
  <c r="T170" i="2" a="1"/>
  <c r="T170" i="2" s="1"/>
  <c r="T191" i="2" a="1"/>
  <c r="T191" i="2" s="1"/>
  <c r="T66" i="2" a="1"/>
  <c r="T66" i="2" s="1"/>
  <c r="T63" i="2" a="1"/>
  <c r="T63" i="2" s="1"/>
  <c r="T176" i="2" a="1"/>
  <c r="T176" i="2" s="1"/>
  <c r="T140" i="2" a="1"/>
  <c r="T140" i="2" s="1"/>
  <c r="T136" i="2" a="1"/>
  <c r="T136" i="2" s="1"/>
  <c r="T153" i="2" a="1"/>
  <c r="T153" i="2" s="1"/>
  <c r="T14" i="2" a="1"/>
  <c r="T14" i="2" s="1"/>
  <c r="T27" i="2" a="1"/>
  <c r="T27" i="2" s="1"/>
  <c r="T177" i="2" a="1"/>
  <c r="T177" i="2" s="1"/>
  <c r="T42" i="2" a="1"/>
  <c r="T42" i="2" s="1"/>
  <c r="T67" i="2" a="1"/>
  <c r="T67" i="2" s="1"/>
  <c r="T183" i="2" a="1"/>
  <c r="T183" i="2" s="1"/>
  <c r="T28" i="2" a="1"/>
  <c r="T28" i="2" s="1"/>
  <c r="T99" i="2" a="1"/>
  <c r="T99" i="2" s="1"/>
  <c r="T100" i="2" a="1"/>
  <c r="T100" i="2" s="1"/>
  <c r="T29" i="2" a="1"/>
  <c r="T29" i="2" s="1"/>
  <c r="T164" i="2" a="1"/>
  <c r="T164" i="2" s="1"/>
  <c r="T54" i="2" a="1"/>
  <c r="T54" i="2" s="1"/>
  <c r="T4" i="2" a="1"/>
  <c r="T4" i="2" s="1"/>
  <c r="T114" i="2" a="1"/>
  <c r="T114" i="2" s="1"/>
  <c r="T143" i="2" a="1"/>
  <c r="T143" i="2" s="1"/>
  <c r="T139" i="2" a="1"/>
  <c r="T139" i="2" s="1"/>
  <c r="T75" i="2" a="1"/>
  <c r="T75" i="2" s="1"/>
  <c r="T159" i="2" a="1"/>
  <c r="T159" i="2" s="1"/>
  <c r="T135" i="2" a="1"/>
  <c r="T135" i="2" s="1"/>
  <c r="T76" i="2" a="1"/>
  <c r="T76" i="2" s="1"/>
  <c r="T106" i="2" a="1"/>
  <c r="T106" i="2" s="1"/>
  <c r="T154" i="2" a="1"/>
  <c r="T154" i="2" s="1"/>
  <c r="T17" i="2" a="1"/>
  <c r="T17" i="2" s="1"/>
  <c r="T197" i="2" a="1"/>
  <c r="T197" i="2" s="1"/>
  <c r="T46" i="2" a="1"/>
  <c r="T46" i="2" s="1"/>
  <c r="T169" i="2" a="1"/>
  <c r="T169" i="2" s="1"/>
  <c r="T145" i="2" a="1"/>
  <c r="T145" i="2" s="1"/>
  <c r="T152" i="2" a="1"/>
  <c r="T152" i="2" s="1"/>
  <c r="T25" i="2" a="1"/>
  <c r="T25" i="2" s="1"/>
  <c r="T43" i="2" a="1"/>
  <c r="T43" i="2" s="1"/>
  <c r="T109" i="2" a="1"/>
  <c r="T109" i="2" s="1"/>
  <c r="T188" i="2" a="1"/>
  <c r="T188" i="2" s="1"/>
  <c r="T130" i="2" a="1"/>
  <c r="T130" i="2" s="1"/>
  <c r="T5" i="2" a="1"/>
  <c r="T5" i="2" s="1"/>
  <c r="T79" i="2" a="1"/>
  <c r="T79" i="2" s="1"/>
  <c r="T146" i="2" a="1"/>
  <c r="T146" i="2" s="1"/>
  <c r="T199" i="2" a="1"/>
  <c r="T199" i="2" s="1"/>
  <c r="T107" i="2" a="1"/>
  <c r="T107" i="2" s="1"/>
  <c r="T55" i="2" a="1"/>
  <c r="T55" i="2" s="1"/>
  <c r="T70" i="2" a="1"/>
  <c r="T70" i="2" s="1"/>
  <c r="T125" i="2" a="1"/>
  <c r="T125" i="2" s="1"/>
  <c r="T60" i="2" a="1"/>
  <c r="T60" i="2" s="1"/>
  <c r="T22" i="2" a="1"/>
  <c r="T22" i="2" s="1"/>
  <c r="T62" i="2" a="1"/>
  <c r="T62" i="2" s="1"/>
  <c r="T47" i="2" a="1"/>
  <c r="T47" i="2" s="1"/>
  <c r="T201" i="2" a="1"/>
  <c r="T201" i="2" s="1"/>
  <c r="T7" i="2" a="1"/>
  <c r="T7" i="2" s="1"/>
  <c r="T61" i="2" a="1"/>
  <c r="T61" i="2" s="1"/>
  <c r="T115" i="2" a="1"/>
  <c r="T115" i="2" s="1"/>
  <c r="T32" i="2" a="1"/>
  <c r="T32" i="2" s="1"/>
  <c r="T9" i="2" a="1"/>
  <c r="T9" i="2" s="1"/>
  <c r="T161" i="2" a="1"/>
  <c r="T161" i="2" s="1"/>
  <c r="T108" i="2" a="1"/>
  <c r="T108" i="2" s="1"/>
  <c r="T192" i="2" a="1"/>
  <c r="T192" i="2" s="1"/>
  <c r="T84" i="2" a="1"/>
  <c r="T84" i="2" s="1"/>
  <c r="T68" i="2" a="1"/>
  <c r="T68" i="2" s="1"/>
  <c r="T85" i="2" a="1"/>
  <c r="T85" i="2" s="1"/>
  <c r="T59" i="2" a="1"/>
  <c r="T59" i="2" s="1"/>
  <c r="T77" i="2" a="1"/>
  <c r="T77" i="2" s="1"/>
  <c r="T126" i="2" a="1"/>
  <c r="T126" i="2" s="1"/>
  <c r="T33" i="2" a="1"/>
  <c r="T33" i="2" s="1"/>
  <c r="T132" i="2" a="1"/>
  <c r="T132" i="2" s="1"/>
  <c r="T34" i="2" a="1"/>
  <c r="T34" i="2" s="1"/>
  <c r="T35" i="2" a="1"/>
  <c r="T35" i="2" s="1"/>
  <c r="T80" i="2" a="1"/>
  <c r="T80" i="2" s="1"/>
  <c r="T165" i="2" a="1"/>
  <c r="T165" i="2" s="1"/>
  <c r="T118" i="2" a="1"/>
  <c r="T118" i="2" s="1"/>
  <c r="T150" i="2" a="1"/>
  <c r="T150" i="2" s="1"/>
  <c r="T88" i="2" a="1"/>
  <c r="T88" i="2" s="1"/>
  <c r="T91" i="2" a="1"/>
  <c r="T91" i="2" s="1"/>
  <c r="T122" i="2" a="1"/>
  <c r="T122" i="2" s="1"/>
  <c r="T96" i="2" a="1"/>
  <c r="T96" i="2" s="1"/>
  <c r="T81" i="2" a="1"/>
  <c r="T81" i="2" s="1"/>
  <c r="T82" i="2" a="1"/>
  <c r="T82" i="2" s="1"/>
  <c r="T73" i="2" a="1"/>
  <c r="T73" i="2" s="1"/>
  <c r="T36" i="2" a="1"/>
  <c r="T36" i="2" s="1"/>
  <c r="T166" i="2" a="1"/>
  <c r="T166" i="2" s="1"/>
  <c r="T37" i="2" a="1"/>
  <c r="T37" i="2" s="1"/>
  <c r="T184" i="2" a="1"/>
  <c r="T184" i="2" s="1"/>
  <c r="T101" i="2" a="1"/>
  <c r="T101" i="2" s="1"/>
  <c r="T178" i="2" a="1"/>
  <c r="T178" i="2" s="1"/>
  <c r="T156" i="2" a="1"/>
  <c r="T156" i="2" s="1"/>
  <c r="T128" i="2" a="1"/>
  <c r="T128" i="2" s="1"/>
  <c r="T38" i="2" a="1"/>
  <c r="T38" i="2" s="1"/>
  <c r="T71" i="2" a="1"/>
  <c r="T71" i="2" s="1"/>
  <c r="T157" i="2" a="1"/>
  <c r="T157" i="2" s="1"/>
  <c r="T64" i="2" a="1"/>
  <c r="T64" i="2" s="1"/>
  <c r="T83" i="2" a="1"/>
  <c r="T83" i="2" s="1"/>
  <c r="T90" i="2" a="1"/>
  <c r="T90" i="2" s="1"/>
  <c r="T44" i="2" a="1"/>
  <c r="T44" i="2" s="1"/>
  <c r="T137" i="2" a="1"/>
  <c r="T137" i="2" s="1"/>
  <c r="T39" i="2" a="1"/>
  <c r="T39" i="2" s="1"/>
  <c r="T23" i="2" a="1"/>
  <c r="T23" i="2" s="1"/>
  <c r="T72" i="2" a="1"/>
  <c r="T72" i="2" s="1"/>
  <c r="T3" i="2" a="1"/>
  <c r="T3" i="2" s="1"/>
  <c r="T104" i="2" a="1"/>
  <c r="T104" i="2" s="1"/>
  <c r="T113" i="2" a="1"/>
  <c r="T113" i="2" s="1"/>
  <c r="T119" i="2" a="1"/>
  <c r="T119" i="2" s="1"/>
  <c r="T97" i="2" a="1"/>
  <c r="T97" i="2" s="1"/>
  <c r="T141" i="2" a="1"/>
  <c r="T141" i="2" s="1"/>
  <c r="T116" i="2" a="1"/>
  <c r="T116" i="2" s="1"/>
  <c r="T12" i="2" a="1"/>
  <c r="T12" i="2" s="1"/>
  <c r="T127" i="2" a="1"/>
  <c r="T127" i="2" s="1"/>
  <c r="T110" i="2" a="1"/>
  <c r="T110" i="2" s="1"/>
  <c r="T180" i="2" a="1"/>
  <c r="T180" i="2" s="1"/>
  <c r="T102" i="2" a="1"/>
  <c r="T102" i="2" s="1"/>
  <c r="T120" i="2" a="1"/>
  <c r="T120" i="2" s="1"/>
  <c r="T111" i="2" a="1"/>
  <c r="T111" i="2" s="1"/>
  <c r="T167" i="2" a="1"/>
  <c r="T167" i="2" s="1"/>
  <c r="T148" i="2" a="1"/>
  <c r="T148" i="2" s="1"/>
  <c r="T15" i="2" a="1"/>
  <c r="T15" i="2" s="1"/>
  <c r="T10" i="2" a="1"/>
  <c r="T10" i="2" s="1"/>
  <c r="T92" i="2" a="1"/>
  <c r="T92" i="2" s="1"/>
  <c r="T48" i="2" a="1"/>
  <c r="T48" i="2" s="1"/>
  <c r="T40" i="2" a="1"/>
  <c r="T40" i="2" s="1"/>
  <c r="T121" i="2" a="1"/>
  <c r="T121" i="2" s="1"/>
  <c r="T162" i="2" a="1"/>
  <c r="T162" i="2" s="1"/>
  <c r="T49" i="2" a="1"/>
  <c r="T49" i="2" s="1"/>
  <c r="T155" i="2" a="1"/>
  <c r="T155" i="2" s="1"/>
  <c r="T50" i="2" a="1"/>
  <c r="T50" i="2" s="1"/>
  <c r="T26" i="2" a="1"/>
  <c r="T26" i="2" s="1"/>
  <c r="T94" i="2" a="1"/>
  <c r="T94" i="2" s="1"/>
  <c r="T133" i="2" a="1"/>
  <c r="T133" i="2" s="1"/>
  <c r="T149" i="2" a="1"/>
  <c r="T149" i="2" s="1"/>
  <c r="T69" i="2" a="1"/>
  <c r="T69" i="2" s="1"/>
  <c r="T194" i="2" a="1"/>
  <c r="T194" i="2" s="1"/>
  <c r="T179" i="2" a="1"/>
  <c r="T179" i="2" s="1"/>
  <c r="T168" i="2" a="1"/>
  <c r="T168" i="2" s="1"/>
  <c r="T74" i="2" a="1"/>
  <c r="T74" i="2" s="1"/>
  <c r="T78" i="2" a="1"/>
  <c r="T78" i="2" s="1"/>
  <c r="T189" i="2" a="1"/>
  <c r="T189" i="2" s="1"/>
  <c r="T112" i="2" a="1"/>
  <c r="T112" i="2" s="1"/>
  <c r="T16" i="2" a="1"/>
  <c r="T16" i="2" s="1"/>
  <c r="T129" i="2" a="1"/>
  <c r="T129" i="2" s="1"/>
  <c r="T138" i="2" a="1"/>
  <c r="T138" i="2" s="1"/>
  <c r="T98" i="2" a="1"/>
  <c r="T98" i="2" s="1"/>
  <c r="T87" i="2" a="1"/>
  <c r="T87" i="2" s="1"/>
  <c r="T57" i="2" a="1"/>
  <c r="T57" i="2" s="1"/>
  <c r="T65" i="2" a="1"/>
  <c r="T65" i="2" s="1"/>
  <c r="T41" i="2" a="1"/>
  <c r="T41" i="2" s="1"/>
  <c r="T193" i="2" a="1"/>
  <c r="T193" i="2" s="1"/>
  <c r="T131" i="2" a="1"/>
  <c r="T131" i="2" s="1"/>
  <c r="T123" i="2" a="1"/>
  <c r="T123" i="2" s="1"/>
  <c r="T45" i="2" a="1"/>
  <c r="T45" i="2" s="1"/>
  <c r="T117" i="2" a="1"/>
  <c r="T117" i="2" s="1"/>
  <c r="T58" i="2" a="1"/>
  <c r="T58" i="2" s="1"/>
  <c r="T89" i="2" a="1"/>
  <c r="T89" i="2" s="1"/>
  <c r="T174" i="2" a="1"/>
  <c r="T174" i="2" s="1"/>
  <c r="S172" i="2" a="1"/>
  <c r="S172" i="2" s="1"/>
  <c r="S198" i="2" a="1"/>
  <c r="S198" i="2" s="1"/>
  <c r="S186" i="2" a="1"/>
  <c r="S186" i="2" s="1"/>
  <c r="S173" i="2" a="1"/>
  <c r="S173" i="2" s="1"/>
  <c r="S86" i="2" a="1"/>
  <c r="S86" i="2" s="1"/>
  <c r="S151" i="2" a="1"/>
  <c r="S151" i="2" s="1"/>
  <c r="S195" i="2" a="1"/>
  <c r="S195" i="2" s="1"/>
  <c r="S95" i="2" a="1"/>
  <c r="S95" i="2" s="1"/>
  <c r="S11" i="2" a="1"/>
  <c r="S11" i="2" s="1"/>
  <c r="S134" i="2" a="1"/>
  <c r="S134" i="2" s="1"/>
  <c r="S93" i="2" a="1"/>
  <c r="S93" i="2" s="1"/>
  <c r="S196" i="2" a="1"/>
  <c r="S196" i="2" s="1"/>
  <c r="S51" i="2" a="1"/>
  <c r="S51" i="2" s="1"/>
  <c r="S13" i="2" a="1"/>
  <c r="S13" i="2" s="1"/>
  <c r="S52" i="2" a="1"/>
  <c r="S52" i="2" s="1"/>
  <c r="S142" i="2" a="1"/>
  <c r="S142" i="2" s="1"/>
  <c r="S144" i="2" a="1"/>
  <c r="S144" i="2" s="1"/>
  <c r="S171" i="2" a="1"/>
  <c r="S171" i="2" s="1"/>
  <c r="S103" i="2" a="1"/>
  <c r="S103" i="2" s="1"/>
  <c r="S30" i="2" a="1"/>
  <c r="S30" i="2" s="1"/>
  <c r="S181" i="2" a="1"/>
  <c r="S181" i="2" s="1"/>
  <c r="S18" i="2" a="1"/>
  <c r="S18" i="2" s="1"/>
  <c r="S31" i="2" a="1"/>
  <c r="S31" i="2" s="1"/>
  <c r="S6" i="2" a="1"/>
  <c r="S6" i="2" s="1"/>
  <c r="S158" i="2" a="1"/>
  <c r="S158" i="2" s="1"/>
  <c r="S8" i="2" a="1"/>
  <c r="S8" i="2" s="1"/>
  <c r="S19" i="2" a="1"/>
  <c r="S19" i="2" s="1"/>
  <c r="S20" i="2" a="1"/>
  <c r="S20" i="2" s="1"/>
  <c r="S21" i="2" a="1"/>
  <c r="S21" i="2" s="1"/>
  <c r="S24" i="2" a="1"/>
  <c r="S24" i="2" s="1"/>
  <c r="S187" i="2" a="1"/>
  <c r="S187" i="2" s="1"/>
  <c r="S147" i="2" a="1"/>
  <c r="S147" i="2" s="1"/>
  <c r="S2" i="2" a="1"/>
  <c r="S2" i="2" s="1"/>
  <c r="S56" i="2" a="1"/>
  <c r="S56" i="2" s="1"/>
  <c r="S124" i="2" a="1"/>
  <c r="S124" i="2" s="1"/>
  <c r="S53" i="2" a="1"/>
  <c r="S53" i="2" s="1"/>
  <c r="S200" i="2" a="1"/>
  <c r="S200" i="2" s="1"/>
  <c r="S105" i="2" a="1"/>
  <c r="S105" i="2" s="1"/>
  <c r="S190" i="2" a="1"/>
  <c r="S190" i="2" s="1"/>
  <c r="S160" i="2" a="1"/>
  <c r="S160" i="2" s="1"/>
  <c r="S175" i="2" a="1"/>
  <c r="S175" i="2" s="1"/>
  <c r="S163" i="2" a="1"/>
  <c r="S163" i="2" s="1"/>
  <c r="S182" i="2" a="1"/>
  <c r="S182" i="2" s="1"/>
  <c r="S185" i="2" a="1"/>
  <c r="S185" i="2" s="1"/>
  <c r="S170" i="2" a="1"/>
  <c r="S170" i="2" s="1"/>
  <c r="S191" i="2" a="1"/>
  <c r="S191" i="2" s="1"/>
  <c r="S66" i="2" a="1"/>
  <c r="S66" i="2" s="1"/>
  <c r="S63" i="2" a="1"/>
  <c r="S63" i="2" s="1"/>
  <c r="S176" i="2" a="1"/>
  <c r="S176" i="2" s="1"/>
  <c r="S140" i="2" a="1"/>
  <c r="S140" i="2" s="1"/>
  <c r="S136" i="2" a="1"/>
  <c r="S136" i="2" s="1"/>
  <c r="S153" i="2" a="1"/>
  <c r="S153" i="2" s="1"/>
  <c r="S14" i="2" a="1"/>
  <c r="S14" i="2" s="1"/>
  <c r="S27" i="2" a="1"/>
  <c r="S27" i="2" s="1"/>
  <c r="S177" i="2" a="1"/>
  <c r="S177" i="2" s="1"/>
  <c r="S42" i="2" a="1"/>
  <c r="S42" i="2" s="1"/>
  <c r="S67" i="2" a="1"/>
  <c r="S67" i="2" s="1"/>
  <c r="S183" i="2" a="1"/>
  <c r="S183" i="2" s="1"/>
  <c r="S28" i="2" a="1"/>
  <c r="S28" i="2" s="1"/>
  <c r="S99" i="2" a="1"/>
  <c r="S99" i="2" s="1"/>
  <c r="S100" i="2" a="1"/>
  <c r="S100" i="2" s="1"/>
  <c r="S29" i="2" a="1"/>
  <c r="S29" i="2" s="1"/>
  <c r="S164" i="2" a="1"/>
  <c r="S164" i="2" s="1"/>
  <c r="S54" i="2" a="1"/>
  <c r="S54" i="2" s="1"/>
  <c r="S4" i="2" a="1"/>
  <c r="S4" i="2" s="1"/>
  <c r="S114" i="2" a="1"/>
  <c r="S114" i="2" s="1"/>
  <c r="S143" i="2" a="1"/>
  <c r="S143" i="2" s="1"/>
  <c r="S139" i="2" a="1"/>
  <c r="S139" i="2" s="1"/>
  <c r="S75" i="2" a="1"/>
  <c r="S75" i="2" s="1"/>
  <c r="S159" i="2" a="1"/>
  <c r="S159" i="2" s="1"/>
  <c r="S135" i="2" a="1"/>
  <c r="S135" i="2" s="1"/>
  <c r="S76" i="2" a="1"/>
  <c r="S76" i="2" s="1"/>
  <c r="S106" i="2" a="1"/>
  <c r="S106" i="2" s="1"/>
  <c r="S154" i="2" a="1"/>
  <c r="S154" i="2" s="1"/>
  <c r="S17" i="2" a="1"/>
  <c r="S17" i="2" s="1"/>
  <c r="S197" i="2" a="1"/>
  <c r="S197" i="2" s="1"/>
  <c r="S46" i="2" a="1"/>
  <c r="S46" i="2" s="1"/>
  <c r="S169" i="2" a="1"/>
  <c r="S169" i="2" s="1"/>
  <c r="S145" i="2" a="1"/>
  <c r="S145" i="2" s="1"/>
  <c r="S152" i="2" a="1"/>
  <c r="S152" i="2" s="1"/>
  <c r="S25" i="2" a="1"/>
  <c r="S25" i="2" s="1"/>
  <c r="S43" i="2" a="1"/>
  <c r="S43" i="2" s="1"/>
  <c r="S109" i="2" a="1"/>
  <c r="S109" i="2" s="1"/>
  <c r="S188" i="2" a="1"/>
  <c r="S188" i="2" s="1"/>
  <c r="S130" i="2" a="1"/>
  <c r="S130" i="2" s="1"/>
  <c r="S5" i="2" a="1"/>
  <c r="S5" i="2" s="1"/>
  <c r="S79" i="2" a="1"/>
  <c r="S79" i="2" s="1"/>
  <c r="S146" i="2" a="1"/>
  <c r="S146" i="2" s="1"/>
  <c r="S199" i="2" a="1"/>
  <c r="S199" i="2" s="1"/>
  <c r="S107" i="2" a="1"/>
  <c r="S107" i="2" s="1"/>
  <c r="S55" i="2" a="1"/>
  <c r="S55" i="2" s="1"/>
  <c r="S70" i="2" a="1"/>
  <c r="S70" i="2" s="1"/>
  <c r="S125" i="2" a="1"/>
  <c r="S125" i="2" s="1"/>
  <c r="S60" i="2" a="1"/>
  <c r="S60" i="2" s="1"/>
  <c r="S22" i="2" a="1"/>
  <c r="S22" i="2" s="1"/>
  <c r="S62" i="2" a="1"/>
  <c r="S62" i="2" s="1"/>
  <c r="S47" i="2" a="1"/>
  <c r="S47" i="2" s="1"/>
  <c r="S201" i="2" a="1"/>
  <c r="S201" i="2" s="1"/>
  <c r="S7" i="2" a="1"/>
  <c r="S7" i="2" s="1"/>
  <c r="S61" i="2" a="1"/>
  <c r="S61" i="2" s="1"/>
  <c r="S115" i="2" a="1"/>
  <c r="S115" i="2" s="1"/>
  <c r="S32" i="2" a="1"/>
  <c r="S32" i="2" s="1"/>
  <c r="S9" i="2" a="1"/>
  <c r="S9" i="2" s="1"/>
  <c r="S161" i="2" a="1"/>
  <c r="S161" i="2" s="1"/>
  <c r="S108" i="2" a="1"/>
  <c r="S108" i="2" s="1"/>
  <c r="S192" i="2" a="1"/>
  <c r="S192" i="2" s="1"/>
  <c r="S84" i="2" a="1"/>
  <c r="S84" i="2" s="1"/>
  <c r="S68" i="2" a="1"/>
  <c r="S68" i="2" s="1"/>
  <c r="S85" i="2" a="1"/>
  <c r="S85" i="2" s="1"/>
  <c r="S59" i="2" a="1"/>
  <c r="S59" i="2" s="1"/>
  <c r="S77" i="2" a="1"/>
  <c r="S77" i="2" s="1"/>
  <c r="S126" i="2" a="1"/>
  <c r="S126" i="2" s="1"/>
  <c r="S33" i="2" a="1"/>
  <c r="S33" i="2" s="1"/>
  <c r="S132" i="2" a="1"/>
  <c r="S132" i="2" s="1"/>
  <c r="S34" i="2" a="1"/>
  <c r="S34" i="2" s="1"/>
  <c r="S35" i="2" a="1"/>
  <c r="S35" i="2" s="1"/>
  <c r="S80" i="2" a="1"/>
  <c r="S80" i="2" s="1"/>
  <c r="S165" i="2" a="1"/>
  <c r="S165" i="2" s="1"/>
  <c r="S118" i="2" a="1"/>
  <c r="S118" i="2" s="1"/>
  <c r="S150" i="2" a="1"/>
  <c r="S150" i="2" s="1"/>
  <c r="S88" i="2" a="1"/>
  <c r="S88" i="2" s="1"/>
  <c r="S91" i="2" a="1"/>
  <c r="S91" i="2" s="1"/>
  <c r="S122" i="2" a="1"/>
  <c r="S122" i="2" s="1"/>
  <c r="S96" i="2" a="1"/>
  <c r="S96" i="2" s="1"/>
  <c r="S81" i="2" a="1"/>
  <c r="S81" i="2" s="1"/>
  <c r="S82" i="2" a="1"/>
  <c r="S82" i="2" s="1"/>
  <c r="S73" i="2" a="1"/>
  <c r="S73" i="2" s="1"/>
  <c r="S36" i="2" a="1"/>
  <c r="S36" i="2" s="1"/>
  <c r="S166" i="2" a="1"/>
  <c r="S166" i="2" s="1"/>
  <c r="S37" i="2" a="1"/>
  <c r="S37" i="2" s="1"/>
  <c r="S184" i="2" a="1"/>
  <c r="S184" i="2" s="1"/>
  <c r="S101" i="2" a="1"/>
  <c r="S101" i="2" s="1"/>
  <c r="S178" i="2" a="1"/>
  <c r="S178" i="2" s="1"/>
  <c r="S156" i="2" a="1"/>
  <c r="S156" i="2" s="1"/>
  <c r="S128" i="2" a="1"/>
  <c r="S128" i="2" s="1"/>
  <c r="S38" i="2" a="1"/>
  <c r="S38" i="2" s="1"/>
  <c r="S71" i="2" a="1"/>
  <c r="S71" i="2" s="1"/>
  <c r="S157" i="2" a="1"/>
  <c r="S157" i="2" s="1"/>
  <c r="S64" i="2" a="1"/>
  <c r="S64" i="2" s="1"/>
  <c r="S83" i="2" a="1"/>
  <c r="S83" i="2" s="1"/>
  <c r="S90" i="2" a="1"/>
  <c r="S90" i="2" s="1"/>
  <c r="S44" i="2" a="1"/>
  <c r="S44" i="2" s="1"/>
  <c r="S137" i="2" a="1"/>
  <c r="S137" i="2" s="1"/>
  <c r="S39" i="2" a="1"/>
  <c r="S39" i="2" s="1"/>
  <c r="S23" i="2" a="1"/>
  <c r="S23" i="2" s="1"/>
  <c r="S72" i="2" a="1"/>
  <c r="S72" i="2" s="1"/>
  <c r="S3" i="2" a="1"/>
  <c r="S3" i="2" s="1"/>
  <c r="S104" i="2" a="1"/>
  <c r="S104" i="2" s="1"/>
  <c r="S113" i="2" a="1"/>
  <c r="S113" i="2" s="1"/>
  <c r="S119" i="2" a="1"/>
  <c r="S119" i="2" s="1"/>
  <c r="S97" i="2" a="1"/>
  <c r="S97" i="2" s="1"/>
  <c r="S141" i="2" a="1"/>
  <c r="S141" i="2" s="1"/>
  <c r="S116" i="2" a="1"/>
  <c r="S116" i="2" s="1"/>
  <c r="S12" i="2" a="1"/>
  <c r="S12" i="2" s="1"/>
  <c r="S127" i="2" a="1"/>
  <c r="S127" i="2" s="1"/>
  <c r="S110" i="2" a="1"/>
  <c r="S110" i="2" s="1"/>
  <c r="S180" i="2" a="1"/>
  <c r="S180" i="2" s="1"/>
  <c r="S102" i="2" a="1"/>
  <c r="S102" i="2" s="1"/>
  <c r="S120" i="2" a="1"/>
  <c r="S120" i="2" s="1"/>
  <c r="S111" i="2" a="1"/>
  <c r="S111" i="2" s="1"/>
  <c r="S167" i="2" a="1"/>
  <c r="S167" i="2" s="1"/>
  <c r="S148" i="2" a="1"/>
  <c r="S148" i="2" s="1"/>
  <c r="S15" i="2" a="1"/>
  <c r="S15" i="2" s="1"/>
  <c r="S10" i="2" a="1"/>
  <c r="S10" i="2" s="1"/>
  <c r="S92" i="2" a="1"/>
  <c r="S92" i="2" s="1"/>
  <c r="S48" i="2" a="1"/>
  <c r="S48" i="2" s="1"/>
  <c r="S40" i="2" a="1"/>
  <c r="S40" i="2" s="1"/>
  <c r="S121" i="2" a="1"/>
  <c r="S121" i="2" s="1"/>
  <c r="S162" i="2" a="1"/>
  <c r="S162" i="2" s="1"/>
  <c r="S49" i="2" a="1"/>
  <c r="S49" i="2" s="1"/>
  <c r="S155" i="2" a="1"/>
  <c r="S155" i="2" s="1"/>
  <c r="S50" i="2" a="1"/>
  <c r="S50" i="2" s="1"/>
  <c r="S26" i="2" a="1"/>
  <c r="S26" i="2" s="1"/>
  <c r="S94" i="2" a="1"/>
  <c r="S94" i="2" s="1"/>
  <c r="S133" i="2" a="1"/>
  <c r="S133" i="2" s="1"/>
  <c r="S149" i="2" a="1"/>
  <c r="S149" i="2" s="1"/>
  <c r="S69" i="2" a="1"/>
  <c r="S69" i="2" s="1"/>
  <c r="S194" i="2" a="1"/>
  <c r="S194" i="2" s="1"/>
  <c r="S179" i="2" a="1"/>
  <c r="S179" i="2" s="1"/>
  <c r="S168" i="2" a="1"/>
  <c r="S168" i="2" s="1"/>
  <c r="S74" i="2" a="1"/>
  <c r="S74" i="2" s="1"/>
  <c r="S78" i="2" a="1"/>
  <c r="S78" i="2" s="1"/>
  <c r="S189" i="2" a="1"/>
  <c r="S189" i="2" s="1"/>
  <c r="S112" i="2" a="1"/>
  <c r="S112" i="2" s="1"/>
  <c r="S16" i="2" a="1"/>
  <c r="S16" i="2" s="1"/>
  <c r="S129" i="2" a="1"/>
  <c r="S129" i="2" s="1"/>
  <c r="S138" i="2" a="1"/>
  <c r="S138" i="2" s="1"/>
  <c r="S98" i="2" a="1"/>
  <c r="S98" i="2" s="1"/>
  <c r="S87" i="2" a="1"/>
  <c r="S87" i="2" s="1"/>
  <c r="S57" i="2" a="1"/>
  <c r="S57" i="2" s="1"/>
  <c r="S65" i="2" a="1"/>
  <c r="S65" i="2" s="1"/>
  <c r="S41" i="2" a="1"/>
  <c r="S41" i="2" s="1"/>
  <c r="S193" i="2" a="1"/>
  <c r="S193" i="2" s="1"/>
  <c r="S131" i="2" a="1"/>
  <c r="S131" i="2" s="1"/>
  <c r="S123" i="2" a="1"/>
  <c r="S123" i="2" s="1"/>
  <c r="S45" i="2" a="1"/>
  <c r="S45" i="2" s="1"/>
  <c r="S117" i="2" a="1"/>
  <c r="S117" i="2" s="1"/>
  <c r="S58" i="2" a="1"/>
  <c r="S58" i="2" s="1"/>
  <c r="S89" i="2" a="1"/>
  <c r="S89" i="2" s="1"/>
  <c r="S174" i="2" a="1"/>
  <c r="S174"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E7AF23C-2451-C84A-B7DD-F8F4499FD4E9}" keepAlive="1" name="Query - Untitled" description="Connection to the 'Untitled' query in the workbook." type="5" refreshedVersion="8" background="1" saveData="1">
    <dbPr connection="Provider=Microsoft.Mashup.OleDb.1;Data Source=$Workbook$;Location=Untitled;Extended Properties=&quot;&quot;" command="SELECT * FROM [Untitled]"/>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<sst xmlns="http://schemas.openxmlformats.org/spreadsheetml/2006/main" count="1638" uniqueCount="274">
  <si>
    <t>merchant_id</t>
  </si>
  <si>
    <t>week_start</t>
  </si>
  <si>
    <t>city</t>
  </si>
  <si>
    <t>category</t>
  </si>
  <si>
    <t>orders</t>
  </si>
  <si>
    <t>revenue</t>
  </si>
  <si>
    <t>orders_last_4w</t>
  </si>
  <si>
    <t>orders_growth_4w</t>
  </si>
  <si>
    <t>cancel_rate</t>
  </si>
  <si>
    <t>refund_rate</t>
  </si>
  <si>
    <t>prep_time_mins_avg</t>
  </si>
  <si>
    <t>rating_avg</t>
  </si>
  <si>
    <t>ad_spend</t>
  </si>
  <si>
    <t>ad_penetration</t>
  </si>
  <si>
    <t>roas</t>
  </si>
  <si>
    <t>health_score</t>
  </si>
  <si>
    <t>top_issue_driver</t>
  </si>
  <si>
    <t>segment</t>
  </si>
  <si>
    <t>recommended_action_1</t>
  </si>
  <si>
    <t>recommended_action_2</t>
  </si>
  <si>
    <t>recommended_action_3</t>
  </si>
  <si>
    <t>M0002</t>
  </si>
  <si>
    <t>Seattle</t>
  </si>
  <si>
    <t>Retail</t>
  </si>
  <si>
    <t>Stable</t>
  </si>
  <si>
    <t>Core</t>
  </si>
  <si>
    <t>Maintain baseline reporting and test small promos or ads</t>
  </si>
  <si>
    <t>Run a cohort test and compare lift vs control</t>
  </si>
  <si>
    <t>Monitor KPIs and investigate outliers</t>
  </si>
  <si>
    <t>M0055</t>
  </si>
  <si>
    <t>Boston</t>
  </si>
  <si>
    <t>Cafe</t>
  </si>
  <si>
    <t>High Potential</t>
  </si>
  <si>
    <t>Upsell ads with a clear ROI story and onboarding checklist</t>
  </si>
  <si>
    <t>Launch starter ads package and track incremental orders weekly</t>
  </si>
  <si>
    <t>Track adoption, spend, and repeat rate</t>
  </si>
  <si>
    <t>M0027</t>
  </si>
  <si>
    <t>Chicago</t>
  </si>
  <si>
    <t>Restaurant</t>
  </si>
  <si>
    <t>M0140</t>
  </si>
  <si>
    <t>San Francisco</t>
  </si>
  <si>
    <t>Declining orders</t>
  </si>
  <si>
    <t>M0059</t>
  </si>
  <si>
    <t>Pharmacy</t>
  </si>
  <si>
    <t>High cancellations</t>
  </si>
  <si>
    <t>Ops Constrained</t>
  </si>
  <si>
    <t>Reduce prep time and cancellations via menu availability and staffing playbook</t>
  </si>
  <si>
    <t>Operational audit: hours, menu cleanup, fulfillment consistency</t>
  </si>
  <si>
    <t>Track prep time change and cancel reduction week over week</t>
  </si>
  <si>
    <t>M0087</t>
  </si>
  <si>
    <t>Washington DC</t>
  </si>
  <si>
    <t>M0136</t>
  </si>
  <si>
    <t>M0194</t>
  </si>
  <si>
    <t>Los Angeles</t>
  </si>
  <si>
    <t>Grocery</t>
  </si>
  <si>
    <t>Slow prep time</t>
  </si>
  <si>
    <t>M0172</t>
  </si>
  <si>
    <t>New York</t>
  </si>
  <si>
    <t>Convenience</t>
  </si>
  <si>
    <t>At Risk</t>
  </si>
  <si>
    <t>Fix reliability drivers first, then run targeted promo to regain volume</t>
  </si>
  <si>
    <t>Sales outreach with a 2 week recovery plan and weekly monitoring</t>
  </si>
  <si>
    <t>Measure pre vs post lift: orders, cancellations, refunds, rating</t>
  </si>
  <si>
    <t>M0192</t>
  </si>
  <si>
    <t>M0022</t>
  </si>
  <si>
    <t>High refunds</t>
  </si>
  <si>
    <t>M0011</t>
  </si>
  <si>
    <t>M0120</t>
  </si>
  <si>
    <t>Denver</t>
  </si>
  <si>
    <t>M0053</t>
  </si>
  <si>
    <t>M0093</t>
  </si>
  <si>
    <t>M0037</t>
  </si>
  <si>
    <t>M0069</t>
  </si>
  <si>
    <t>M0023</t>
  </si>
  <si>
    <t>M0157</t>
  </si>
  <si>
    <t>M0137</t>
  </si>
  <si>
    <t>M0006</t>
  </si>
  <si>
    <t>M0045</t>
  </si>
  <si>
    <t>M0043</t>
  </si>
  <si>
    <t>Austin</t>
  </si>
  <si>
    <t>M0003</t>
  </si>
  <si>
    <t>M0109</t>
  </si>
  <si>
    <t>M0169</t>
  </si>
  <si>
    <t>M0098</t>
  </si>
  <si>
    <t>M0158</t>
  </si>
  <si>
    <t>M0092</t>
  </si>
  <si>
    <t>M0008</t>
  </si>
  <si>
    <t>M0077</t>
  </si>
  <si>
    <t>M0150</t>
  </si>
  <si>
    <t>M0048</t>
  </si>
  <si>
    <t>M0041</t>
  </si>
  <si>
    <t>M0148</t>
  </si>
  <si>
    <t>M0046</t>
  </si>
  <si>
    <t>M0198</t>
  </si>
  <si>
    <t>M0191</t>
  </si>
  <si>
    <t>M0060</t>
  </si>
  <si>
    <t>M0122</t>
  </si>
  <si>
    <t>M0030</t>
  </si>
  <si>
    <t>M0078</t>
  </si>
  <si>
    <t>M0142</t>
  </si>
  <si>
    <t>Low ROAS</t>
  </si>
  <si>
    <t>M0133</t>
  </si>
  <si>
    <t>M0113</t>
  </si>
  <si>
    <t>M0127</t>
  </si>
  <si>
    <t>M0014</t>
  </si>
  <si>
    <t>M0119</t>
  </si>
  <si>
    <t>M0052</t>
  </si>
  <si>
    <t>M0072</t>
  </si>
  <si>
    <t>M0146</t>
  </si>
  <si>
    <t>M0111</t>
  </si>
  <si>
    <t>M0005</t>
  </si>
  <si>
    <t>M0155</t>
  </si>
  <si>
    <t>M0099</t>
  </si>
  <si>
    <t>M0054</t>
  </si>
  <si>
    <t>M0162</t>
  </si>
  <si>
    <t>M0197</t>
  </si>
  <si>
    <t>M0038</t>
  </si>
  <si>
    <t>M0081</t>
  </si>
  <si>
    <t>M0151</t>
  </si>
  <si>
    <t>M0118</t>
  </si>
  <si>
    <t>M0096</t>
  </si>
  <si>
    <t>M0163</t>
  </si>
  <si>
    <t>M0050</t>
  </si>
  <si>
    <t>M0143</t>
  </si>
  <si>
    <t>M0200</t>
  </si>
  <si>
    <t>M0135</t>
  </si>
  <si>
    <t>M0193</t>
  </si>
  <si>
    <t>M0066</t>
  </si>
  <si>
    <t>M0082</t>
  </si>
  <si>
    <t>M0031</t>
  </si>
  <si>
    <t>M0199</t>
  </si>
  <si>
    <t>M0025</t>
  </si>
  <si>
    <t>M0125</t>
  </si>
  <si>
    <t>M0184</t>
  </si>
  <si>
    <t>M0033</t>
  </si>
  <si>
    <t>M0190</t>
  </si>
  <si>
    <t>M0061</t>
  </si>
  <si>
    <t>M0035</t>
  </si>
  <si>
    <t>M0026</t>
  </si>
  <si>
    <t>M0164</t>
  </si>
  <si>
    <t>M0009</t>
  </si>
  <si>
    <t>M0154</t>
  </si>
  <si>
    <t>M0044</t>
  </si>
  <si>
    <t>M0170</t>
  </si>
  <si>
    <t>M0019</t>
  </si>
  <si>
    <t>M0036</t>
  </si>
  <si>
    <t>M0086</t>
  </si>
  <si>
    <t>M0064</t>
  </si>
  <si>
    <t>M0130</t>
  </si>
  <si>
    <t>M0107</t>
  </si>
  <si>
    <t>M0013</t>
  </si>
  <si>
    <t>M0187</t>
  </si>
  <si>
    <t>M0175</t>
  </si>
  <si>
    <t>M0128</t>
  </si>
  <si>
    <t>M0084</t>
  </si>
  <si>
    <t>M0012</t>
  </si>
  <si>
    <t>M0104</t>
  </si>
  <si>
    <t>M0049</t>
  </si>
  <si>
    <t>M0139</t>
  </si>
  <si>
    <t>M0089</t>
  </si>
  <si>
    <t>M0105</t>
  </si>
  <si>
    <t>M0102</t>
  </si>
  <si>
    <t>M0195</t>
  </si>
  <si>
    <t>M0007</t>
  </si>
  <si>
    <t>M0028</t>
  </si>
  <si>
    <t>M0091</t>
  </si>
  <si>
    <t>M0101</t>
  </si>
  <si>
    <t>M0080</t>
  </si>
  <si>
    <t>Ad Inefficient</t>
  </si>
  <si>
    <t>Cap spend, tighten targeting, reset campaigns with ROAS guardrails</t>
  </si>
  <si>
    <t>Shift budget to top items and retarget high intent customers</t>
  </si>
  <si>
    <t>Track ROAS lift and adoption efficiency weekly</t>
  </si>
  <si>
    <t>M0106</t>
  </si>
  <si>
    <t>M0085</t>
  </si>
  <si>
    <t>M0071</t>
  </si>
  <si>
    <t>M0079</t>
  </si>
  <si>
    <t>M0024</t>
  </si>
  <si>
    <t>M0132</t>
  </si>
  <si>
    <t>M0016</t>
  </si>
  <si>
    <t>M0188</t>
  </si>
  <si>
    <t>M0153</t>
  </si>
  <si>
    <t>M0117</t>
  </si>
  <si>
    <t>M0159</t>
  </si>
  <si>
    <t>M0183</t>
  </si>
  <si>
    <t>M0196</t>
  </si>
  <si>
    <t>M0042</t>
  </si>
  <si>
    <t>M0171</t>
  </si>
  <si>
    <t>M0182</t>
  </si>
  <si>
    <t>M0112</t>
  </si>
  <si>
    <t>M0062</t>
  </si>
  <si>
    <t>M0176</t>
  </si>
  <si>
    <t>M0141</t>
  </si>
  <si>
    <t>M0174</t>
  </si>
  <si>
    <t>M0039</t>
  </si>
  <si>
    <t>M0103</t>
  </si>
  <si>
    <t>M0058</t>
  </si>
  <si>
    <t>M0185</t>
  </si>
  <si>
    <t>M0179</t>
  </si>
  <si>
    <t>M0070</t>
  </si>
  <si>
    <t>M0152</t>
  </si>
  <si>
    <t>M0051</t>
  </si>
  <si>
    <t>M0018</t>
  </si>
  <si>
    <t>M0065</t>
  </si>
  <si>
    <t>M0074</t>
  </si>
  <si>
    <t>M0073</t>
  </si>
  <si>
    <t>M0047</t>
  </si>
  <si>
    <t>M0156</t>
  </si>
  <si>
    <t>M0094</t>
  </si>
  <si>
    <t>M0134</t>
  </si>
  <si>
    <t>M0168</t>
  </si>
  <si>
    <t>M0180</t>
  </si>
  <si>
    <t>M0001</t>
  </si>
  <si>
    <t>M0088</t>
  </si>
  <si>
    <t>M0110</t>
  </si>
  <si>
    <t>M0121</t>
  </si>
  <si>
    <t>M0177</t>
  </si>
  <si>
    <t>M0032</t>
  </si>
  <si>
    <t>M0057</t>
  </si>
  <si>
    <t>M0165</t>
  </si>
  <si>
    <t>M0020</t>
  </si>
  <si>
    <t>M0067</t>
  </si>
  <si>
    <t>M0108</t>
  </si>
  <si>
    <t>M0017</t>
  </si>
  <si>
    <t>M0126</t>
  </si>
  <si>
    <t>M0056</t>
  </si>
  <si>
    <t>M0075</t>
  </si>
  <si>
    <t>M0181</t>
  </si>
  <si>
    <t>M0167</t>
  </si>
  <si>
    <t>M0116</t>
  </si>
  <si>
    <t>M0129</t>
  </si>
  <si>
    <t>M0068</t>
  </si>
  <si>
    <t>M0015</t>
  </si>
  <si>
    <t>M0149</t>
  </si>
  <si>
    <t>M0090</t>
  </si>
  <si>
    <t>M0160</t>
  </si>
  <si>
    <t>M0166</t>
  </si>
  <si>
    <t>M0100</t>
  </si>
  <si>
    <t>M0189</t>
  </si>
  <si>
    <t>M0186</t>
  </si>
  <si>
    <t>M0115</t>
  </si>
  <si>
    <t>M0040</t>
  </si>
  <si>
    <t>M0147</t>
  </si>
  <si>
    <t>M0083</t>
  </si>
  <si>
    <t>M0076</t>
  </si>
  <si>
    <t>M0034</t>
  </si>
  <si>
    <t>M0095</t>
  </si>
  <si>
    <t>M0161</t>
  </si>
  <si>
    <t>M0138</t>
  </si>
  <si>
    <t>M0145</t>
  </si>
  <si>
    <t>M0029</t>
  </si>
  <si>
    <t>M0123</t>
  </si>
  <si>
    <t>M0144</t>
  </si>
  <si>
    <t>M0131</t>
  </si>
  <si>
    <t>M0021</t>
  </si>
  <si>
    <t>M0178</t>
  </si>
  <si>
    <t>M0173</t>
  </si>
  <si>
    <t>M0010</t>
  </si>
  <si>
    <t>M0004</t>
  </si>
  <si>
    <t>M0097</t>
  </si>
  <si>
    <t>M0063</t>
  </si>
  <si>
    <t>M0114</t>
  </si>
  <si>
    <t>M0124</t>
  </si>
  <si>
    <t>Owner</t>
  </si>
  <si>
    <t>next_touch_date</t>
  </si>
  <si>
    <t>Status</t>
  </si>
  <si>
    <t>priority_rank</t>
  </si>
  <si>
    <t>next_touch_sla</t>
  </si>
  <si>
    <t>Grand Total</t>
  </si>
  <si>
    <t>Merchants</t>
  </si>
  <si>
    <t>Average Health Score</t>
  </si>
  <si>
    <t>Average orders_growth_4w</t>
  </si>
  <si>
    <t>Average roas</t>
  </si>
  <si>
    <t>segment_qc_flag</t>
  </si>
  <si>
    <t>Atlanta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</si>
</sst>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6" formatCode="0.0%"/>
    <numFmt numFmtId="169" formatCode="yyyy\-mm\-dd;@"/>
  </numFmts>
  <fonts count="3" x14ac:knownFonts="1">
    <font>
      <sz val="12"/>
      <color theme="1"/>
      <name val="Aptos Narrow"/>
      <family val="2"/>
      <scheme val="minor"/>
    </font>
    <font>
      <sz val="8"/>
      <name val="Aptos Narrow"/>
      <family val="2"/>
      <scheme val="minor"/>
    </font>
    <font>
      <sz val="14"/>
      <color theme="0"/>
      <name val="Times New Roman"/>
      <family val="1"/>
    </font>
  </fonts>
  <fills count="3">
    <fill>
      <patternFill patternType="none"/>
    </fill>
    <fill>
      <patternFill patternType="gray125"/>
    </fill>
    <fill>
      <patternFill patternType="solid">
        <fgColor rgb="FFEB1700"/>
        <bgColor indexed="64"/>
      </patternFill>
    </fill>
  </fills>
  <borders count="1">
    <border>
      <left/>
      <right/>
      <top/>
      <bottom/>
      <diagonal/>
    </border>
  </borders>
  <cellStyleXfs count="1">
    <xf numFmtId="0" fontId="0" fillId="0" borderId="0"/>
  </cellStyleXfs>
  <cellXfs count="31">
    <xf numFmtId="0" fontId="0" fillId="0" borderId="0" xfId="0"/>
    <xf numFmtId="0" fontId="0" fillId="0" borderId="0" xfId="0" applyNumberFormat="1"/>
    <xf numFmtId="14" fontId="0" fillId="0" borderId="0" xfId="0" applyNumberFormat="1"/>
    <xf numFmtId="10" fontId="0" fillId="0" borderId="0" xfId="0" applyNumberFormat="1"/>
    <xf numFmtId="166" fontId="0" fillId="0" borderId="0" xfId="0" applyNumberFormat="1"/>
    <xf numFmtId="2" fontId="0" fillId="0" borderId="0" xfId="0" applyNumberFormat="1"/>
    <xf numFmtId="1" fontId="0" fillId="0" borderId="0" xfId="0" applyNumberFormat="1"/>
    <xf numFmtId="0" fontId="0" fillId="0" borderId="0" xfId="0" applyAlignment="1">
      <alignment horizontal="left"/>
    </xf>
    <xf numFmtId="0" fontId="0" fillId="0" borderId="0" xfId="0" applyAlignment="1"/>
    <xf numFmtId="0" fontId="0" fillId="0" borderId="0" xfId="0" applyAlignment="1">
      <alignment horizontal="left" wrapText="1"/>
    </xf>
    <xf numFmtId="0" fontId="0" fillId="0" borderId="0" xfId="0" applyNumberFormat="1" applyAlignment="1">
      <alignment wrapText="1"/>
    </xf>
    <xf numFmtId="169" fontId="0" fillId="0" borderId="0" xfId="0" applyNumberFormat="1"/>
    <xf numFmtId="0" fontId="2" fillId="0" borderId="0" xfId="0" pivotButton="1" applyFont="1"/>
    <xf numFmtId="0" fontId="2" fillId="0" borderId="0" xfId="0" applyFont="1"/>
    <xf numFmtId="0" fontId="2" fillId="0" borderId="0" xfId="0" applyFont="1" applyAlignment="1">
      <alignment horizontal="left"/>
    </xf>
    <xf numFmtId="0" fontId="2" fillId="0" borderId="0" xfId="0" applyNumberFormat="1" applyFont="1" applyAlignment="1">
      <alignment horizontal="left"/>
    </xf>
    <xf numFmtId="1" fontId="2" fillId="0" borderId="0" xfId="0" applyNumberFormat="1" applyFont="1" applyAlignment="1">
      <alignment horizontal="left"/>
    </xf>
    <xf numFmtId="166" fontId="2" fillId="0" borderId="0" xfId="0" applyNumberFormat="1" applyFont="1" applyAlignment="1">
      <alignment horizontal="left"/>
    </xf>
    <xf numFmtId="2" fontId="2" fillId="0" borderId="0" xfId="0" applyNumberFormat="1" applyFont="1" applyAlignment="1">
      <alignment horizontal="left"/>
    </xf>
    <xf numFmtId="0" fontId="2" fillId="0" borderId="0" xfId="0" applyNumberFormat="1" applyFont="1"/>
    <xf numFmtId="1" fontId="2" fillId="0" borderId="0" xfId="0" applyNumberFormat="1" applyFont="1"/>
    <xf numFmtId="166" fontId="2" fillId="0" borderId="0" xfId="0" applyNumberFormat="1" applyFont="1"/>
    <xf numFmtId="2" fontId="2" fillId="0" borderId="0" xfId="0" applyNumberFormat="1" applyFont="1"/>
    <xf numFmtId="0" fontId="0" fillId="2" borderId="0" xfId="0" applyFill="1" applyAlignment="1">
      <alignment horizontal="left" vertical="center"/>
    </xf>
    <xf numFmtId="0" fontId="0" fillId="2" borderId="0" xfId="0" applyFill="1" applyAlignment="1">
      <alignment horizontal="left" vertical="center" wrapText="1"/>
    </xf>
    <xf numFmtId="0" fontId="0" fillId="2" borderId="0" xfId="0" applyFill="1" applyAlignment="1">
      <alignment vertical="center"/>
    </xf>
    <xf numFmtId="14" fontId="0" fillId="2" borderId="0" xfId="0" applyNumberFormat="1" applyFill="1" applyAlignment="1">
      <alignment vertical="center"/>
    </xf>
    <xf numFmtId="166" fontId="0" fillId="2" borderId="0" xfId="0" applyNumberFormat="1" applyFill="1" applyAlignment="1">
      <alignment vertical="center"/>
    </xf>
    <xf numFmtId="10" fontId="0" fillId="2" borderId="0" xfId="0" applyNumberFormat="1" applyFill="1" applyAlignment="1">
      <alignment vertical="center"/>
    </xf>
    <xf numFmtId="2" fontId="0" fillId="2" borderId="0" xfId="0" applyNumberFormat="1" applyFill="1" applyAlignment="1">
      <alignment vertical="center"/>
    </xf>
    <xf numFmtId="1" fontId="0" fillId="2" borderId="0" xfId="0" applyNumberFormat="1" applyFill="1" applyAlignment="1">
      <alignment vertical="center"/>
    </xf>
  </cellXfs>
  <cellStyles count="1">
    <cellStyle name="Normal" xfId="0" builtinId="0"/>
  </cellStyles>
  <dxfs count="57">
    <dxf>
      <fill>
        <patternFill patternType="solid">
          <fgColor indexed="64"/>
          <bgColor rgb="FFEB1700"/>
        </patternFill>
      </fill>
      <alignment vertical="center" textRotation="0" indent="0" justifyLastLine="0" shrinkToFit="0" readingOrder="0"/>
    </dxf>
    <dxf>
      <font>
        <sz val="14"/>
      </font>
    </dxf>
    <dxf>
      <font>
        <sz val="14"/>
      </font>
    </dxf>
    <dxf>
      <font>
        <sz val="14"/>
      </font>
    </dxf>
    <dxf>
      <font>
        <sz val="14"/>
      </font>
    </dxf>
    <dxf>
      <font>
        <sz val="14"/>
      </font>
    </dxf>
    <dxf>
      <font>
        <sz val="14"/>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color theme="0"/>
      </font>
    </dxf>
    <dxf>
      <font>
        <color theme="0"/>
      </font>
    </dxf>
    <dxf>
      <font>
        <color theme="0"/>
      </font>
    </dxf>
    <dxf>
      <font>
        <color theme="0"/>
      </font>
    </dxf>
    <dxf>
      <font>
        <color theme="0"/>
      </font>
    </dxf>
    <dxf>
      <font>
        <color theme="0"/>
      </font>
    </dxf>
    <dxf>
      <fill>
        <patternFill>
          <bgColor rgb="FF191919"/>
        </patternFill>
      </fill>
      <border>
        <vertical style="thick">
          <color theme="0"/>
        </vertical>
        <horizontal style="thick">
          <color theme="0"/>
        </horizontal>
      </border>
    </dxf>
    <dxf>
      <border>
        <left style="thin">
          <color auto="1"/>
        </left>
        <right style="thin">
          <color auto="1"/>
        </right>
        <top style="thin">
          <color auto="1"/>
        </top>
        <bottom style="thin">
          <color auto="1"/>
        </bottom>
        <vertical style="thin">
          <color auto="1"/>
        </vertical>
        <horizontal style="thin">
          <color auto="1"/>
        </horizontal>
      </border>
    </dxf>
    <dxf>
      <font>
        <color rgb="FFFFFFFF"/>
      </font>
      <fill>
        <patternFill>
          <bgColor rgb="FF191919"/>
        </patternFill>
      </fill>
    </dxf>
    <dxf>
      <alignment horizontal="left"/>
    </dxf>
    <dxf>
      <alignment horizontal="left"/>
    </dxf>
    <dxf>
      <alignment horizontal="left"/>
    </dxf>
    <dxf>
      <alignment horizontal="left"/>
    </dxf>
    <dxf>
      <alignment horizontal="right"/>
    </dxf>
    <dxf>
      <alignment horizontal="left"/>
    </dxf>
    <dxf>
      <alignment horizontal="left"/>
    </dxf>
    <dxf>
      <alignment horizontal="center"/>
    </dxf>
    <dxf>
      <alignment horizontal="left"/>
    </dxf>
    <dxf>
      <alignment horizontal="center"/>
    </dxf>
    <dxf>
      <numFmt numFmtId="169" formatCode="yyyy\-mm\-dd;@"/>
    </dxf>
    <dxf>
      <numFmt numFmtId="0" formatCode="General"/>
      <alignment horizontal="general" vertical="bottom" textRotation="0" wrapText="1" indent="0" justifyLastLine="0" shrinkToFit="0" readingOrder="0"/>
    </dxf>
    <dxf>
      <numFmt numFmtId="19" formatCode="dd/mm/yyyy"/>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left" vertical="bottom" textRotation="0" wrapText="1" indent="0" justifyLastLine="0" shrinkToFit="0" readingOrder="0"/>
    </dxf>
    <dxf>
      <font>
        <color rgb="FF006100"/>
      </font>
      <fill>
        <patternFill>
          <bgColor rgb="FFC6EFCE"/>
        </patternFill>
      </fill>
    </dxf>
    <dxf>
      <fill>
        <patternFill>
          <bgColor theme="7" tint="0.79998168889431442"/>
        </patternFill>
      </fill>
    </dxf>
    <dxf>
      <font>
        <color theme="0"/>
      </font>
      <fill>
        <patternFill>
          <bgColor rgb="FFFF9600"/>
        </patternFill>
      </fill>
    </dxf>
    <dxf>
      <font>
        <color rgb="FF9C5700"/>
      </font>
      <fill>
        <patternFill>
          <bgColor rgb="FFFFEB9C"/>
        </patternFill>
      </fill>
    </dxf>
    <dxf>
      <font>
        <color rgb="FF9C0006"/>
      </font>
      <fill>
        <patternFill>
          <bgColor rgb="FFFFC7CE"/>
        </patternFill>
      </fill>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dxf>
    <dxf>
      <numFmt numFmtId="0" formatCode="General"/>
    </dxf>
    <dxf>
      <numFmt numFmtId="0" formatCode="General"/>
    </dxf>
    <dxf>
      <numFmt numFmtId="1" formatCode="0"/>
    </dxf>
    <dxf>
      <numFmt numFmtId="0" formatCode="General"/>
    </dxf>
    <dxf>
      <numFmt numFmtId="2" formatCode="0.00"/>
    </dxf>
    <dxf>
      <numFmt numFmtId="14" formatCode="0.00%"/>
    </dxf>
    <dxf>
      <numFmt numFmtId="14" formatCode="0.00%"/>
    </dxf>
    <dxf>
      <numFmt numFmtId="166" formatCode="0.0%"/>
    </dxf>
    <dxf>
      <numFmt numFmtId="0" formatCode="General"/>
    </dxf>
    <dxf>
      <numFmt numFmtId="0" formatCode="General"/>
    </dxf>
    <dxf>
      <numFmt numFmtId="0" formatCode="General"/>
    </dxf>
  </dxfs>
  <tableStyles count="4" defaultTableStyle="TableStyleMedium2" defaultPivotStyle="PivotStyleLight16">
    <tableStyle name="PivotTable Style 1" table="0" count="0" xr9:uid="{8A0BCF4D-B3AA-6E42-8C3F-0A137297B612}"/>
    <tableStyle name="PivotTable Style 2" table="0" count="1" xr9:uid="{3246310E-8285-3C45-B11D-B72C2616F7C8}">
      <tableStyleElement type="wholeTable" dxfId="21"/>
    </tableStyle>
    <tableStyle name="PivotTable Style 3" table="0" count="1" xr9:uid="{C3975D37-020E-A349-BF82-C3869DF41268}">
      <tableStyleElement type="wholeTable" dxfId="20"/>
    </tableStyle>
    <tableStyle name="PivotTable Style 4" table="0" count="1" xr9:uid="{406890C9-7D60-7641-9E6E-A66B4964DCD4}">
      <tableStyleElement type="wholeTable" dxfId="19"/>
    </tableStyle>
  </tableStyles>
  <colors>
    <mruColors>
      <color rgb="FF191919"/>
      <color rgb="FFEB1700"/>
      <color rgb="FFFFFFFF"/>
      <color rgb="FFFFF0ED"/>
      <color rgb="FFFF9600"/>
      <color rgb="FFFF84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1.xml"/><Relationship Id="rId3" Type="http://schemas.openxmlformats.org/officeDocument/2006/relationships/pivotCacheDefinition" Target="pivotCache/pivotCacheDefinition1.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heetMetadata" Target="metadata.xml"/><Relationship Id="rId5" Type="http://schemas.microsoft.com/office/2007/relationships/slicerCache" Target="slicerCaches/slicerCache2.xml"/><Relationship Id="rId10" Type="http://schemas.openxmlformats.org/officeDocument/2006/relationships/sharedStrings" Target="sharedStrings.xml"/><Relationship Id="rId4" Type="http://schemas.microsoft.com/office/2007/relationships/slicerCache" Target="slicerCaches/slicerCache1.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8</xdr:col>
      <xdr:colOff>609600</xdr:colOff>
      <xdr:row>1</xdr:row>
      <xdr:rowOff>0</xdr:rowOff>
    </xdr:from>
    <xdr:to>
      <xdr:col>11</xdr:col>
      <xdr:colOff>254000</xdr:colOff>
      <xdr:row>16</xdr:row>
      <xdr:rowOff>107373</xdr:rowOff>
    </xdr:to>
    <mc:AlternateContent xmlns:mc="http://schemas.openxmlformats.org/markup-compatibility/2006">
      <mc:Choice xmlns:a14="http://schemas.microsoft.com/office/drawing/2010/main" Requires="a14">
        <xdr:graphicFrame macro="">
          <xdr:nvGraphicFramePr>
            <xdr:cNvPr id="5" name="city">
              <a:extLst>
                <a:ext uri="{FF2B5EF4-FFF2-40B4-BE49-F238E27FC236}">
                  <a16:creationId xmlns:a16="http://schemas.microsoft.com/office/drawing/2014/main" id="{7BDE5E08-5A8F-6EEC-5386-29C1EF0044C7}"/>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0723418" y="230909"/>
              <a:ext cx="2138218" cy="336319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25400</xdr:colOff>
      <xdr:row>1</xdr:row>
      <xdr:rowOff>12700</xdr:rowOff>
    </xdr:from>
    <xdr:to>
      <xdr:col>14</xdr:col>
      <xdr:colOff>165100</xdr:colOff>
      <xdr:row>11</xdr:row>
      <xdr:rowOff>39255</xdr:rowOff>
    </xdr:to>
    <mc:AlternateContent xmlns:mc="http://schemas.openxmlformats.org/markup-compatibility/2006">
      <mc:Choice xmlns:a14="http://schemas.microsoft.com/office/drawing/2010/main" Requires="a14">
        <xdr:graphicFrame macro="">
          <xdr:nvGraphicFramePr>
            <xdr:cNvPr id="6" name="category">
              <a:extLst>
                <a:ext uri="{FF2B5EF4-FFF2-40B4-BE49-F238E27FC236}">
                  <a16:creationId xmlns:a16="http://schemas.microsoft.com/office/drawing/2014/main" id="{8F9EAA90-634D-E7BF-9CEE-078CBF1605E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3464309" y="243609"/>
              <a:ext cx="1802246" cy="224328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381000</xdr:colOff>
      <xdr:row>1</xdr:row>
      <xdr:rowOff>25400</xdr:rowOff>
    </xdr:from>
    <xdr:to>
      <xdr:col>8</xdr:col>
      <xdr:colOff>165101</xdr:colOff>
      <xdr:row>11</xdr:row>
      <xdr:rowOff>26555</xdr:rowOff>
    </xdr:to>
    <mc:AlternateContent xmlns:mc="http://schemas.openxmlformats.org/markup-compatibility/2006">
      <mc:Choice xmlns:a14="http://schemas.microsoft.com/office/drawing/2010/main" Requires="a14">
        <xdr:graphicFrame macro="">
          <xdr:nvGraphicFramePr>
            <xdr:cNvPr id="7" name="segment">
              <a:extLst>
                <a:ext uri="{FF2B5EF4-FFF2-40B4-BE49-F238E27FC236}">
                  <a16:creationId xmlns:a16="http://schemas.microsoft.com/office/drawing/2014/main" id="{855DB1C9-F802-DF1D-AAE0-D7DEC5F75801}"/>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8001000" y="256309"/>
              <a:ext cx="2277919" cy="221788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431800</xdr:colOff>
      <xdr:row>9</xdr:row>
      <xdr:rowOff>0</xdr:rowOff>
    </xdr:from>
    <xdr:to>
      <xdr:col>4</xdr:col>
      <xdr:colOff>254000</xdr:colOff>
      <xdr:row>19</xdr:row>
      <xdr:rowOff>0</xdr:rowOff>
    </xdr:to>
    <xdr:sp macro="" textlink="">
      <xdr:nvSpPr>
        <xdr:cNvPr id="8" name="TextBox 7">
          <a:extLst>
            <a:ext uri="{FF2B5EF4-FFF2-40B4-BE49-F238E27FC236}">
              <a16:creationId xmlns:a16="http://schemas.microsoft.com/office/drawing/2014/main" id="{7372C245-5B95-ED68-1CCE-86F5C89B017A}"/>
            </a:ext>
          </a:extLst>
        </xdr:cNvPr>
        <xdr:cNvSpPr txBox="1"/>
      </xdr:nvSpPr>
      <xdr:spPr>
        <a:xfrm>
          <a:off x="431800" y="1828800"/>
          <a:ext cx="4927600" cy="2032000"/>
        </a:xfrm>
        <a:prstGeom prst="rect">
          <a:avLst/>
        </a:prstGeom>
        <a:solidFill>
          <a:srgbClr val="FFF0ED"/>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u="none">
              <a:solidFill>
                <a:schemeClr val="tx1"/>
              </a:solidFill>
              <a:latin typeface="Times New Roman" panose="02020603050405020304" pitchFamily="18" charset="0"/>
              <a:cs typeface="Times New Roman" panose="02020603050405020304" pitchFamily="18" charset="0"/>
            </a:rPr>
            <a:t>Overall business health</a:t>
          </a:r>
        </a:p>
        <a:p>
          <a:r>
            <a:rPr lang="en-GB" sz="1400">
              <a:solidFill>
                <a:schemeClr val="tx1"/>
              </a:solidFill>
              <a:latin typeface="Times New Roman" panose="02020603050405020304" pitchFamily="18" charset="0"/>
              <a:cs typeface="Times New Roman" panose="02020603050405020304" pitchFamily="18" charset="0"/>
            </a:rPr>
            <a:t>Across </a:t>
          </a:r>
          <a:r>
            <a:rPr lang="en-GB" sz="1400" b="1">
              <a:solidFill>
                <a:schemeClr val="tx1"/>
              </a:solidFill>
              <a:latin typeface="Times New Roman" panose="02020603050405020304" pitchFamily="18" charset="0"/>
              <a:cs typeface="Times New Roman" panose="02020603050405020304" pitchFamily="18" charset="0"/>
            </a:rPr>
            <a:t>200 merchants</a:t>
          </a:r>
          <a:r>
            <a:rPr lang="en-GB" sz="1400">
              <a:solidFill>
                <a:schemeClr val="tx1"/>
              </a:solidFill>
              <a:latin typeface="Times New Roman" panose="02020603050405020304" pitchFamily="18" charset="0"/>
              <a:cs typeface="Times New Roman" panose="02020603050405020304" pitchFamily="18" charset="0"/>
            </a:rPr>
            <a:t>, the portfolio is trending down:</a:t>
          </a:r>
          <a:br>
            <a:rPr lang="en-GB" sz="1400">
              <a:solidFill>
                <a:schemeClr val="tx1"/>
              </a:solidFill>
              <a:latin typeface="Times New Roman" panose="02020603050405020304" pitchFamily="18" charset="0"/>
              <a:cs typeface="Times New Roman" panose="02020603050405020304" pitchFamily="18" charset="0"/>
            </a:rPr>
          </a:br>
          <a:endParaRPr lang="en-GB" sz="1400">
            <a:solidFill>
              <a:schemeClr val="tx1"/>
            </a:solidFill>
            <a:latin typeface="Times New Roman" panose="02020603050405020304" pitchFamily="18" charset="0"/>
            <a:cs typeface="Times New Roman" panose="02020603050405020304" pitchFamily="18" charset="0"/>
          </a:endParaRPr>
        </a:p>
        <a:p>
          <a:r>
            <a:rPr lang="en-GB" sz="1400" b="0">
              <a:solidFill>
                <a:schemeClr val="tx1"/>
              </a:solidFill>
              <a:latin typeface="Times New Roman" panose="02020603050405020304" pitchFamily="18" charset="0"/>
              <a:cs typeface="Times New Roman" panose="02020603050405020304" pitchFamily="18" charset="0"/>
            </a:rPr>
            <a:t>- </a:t>
          </a:r>
          <a:r>
            <a:rPr lang="en-GB" sz="1400" b="1">
              <a:solidFill>
                <a:schemeClr val="tx1"/>
              </a:solidFill>
              <a:latin typeface="Times New Roman" panose="02020603050405020304" pitchFamily="18" charset="0"/>
              <a:cs typeface="Times New Roman" panose="02020603050405020304" pitchFamily="18" charset="0"/>
            </a:rPr>
            <a:t>Avg Health Score = 50</a:t>
          </a:r>
        </a:p>
        <a:p>
          <a:r>
            <a:rPr lang="en-GB" sz="1400" b="1">
              <a:solidFill>
                <a:schemeClr val="tx1"/>
              </a:solidFill>
              <a:latin typeface="Times New Roman" panose="02020603050405020304" pitchFamily="18" charset="0"/>
              <a:cs typeface="Times New Roman" panose="02020603050405020304" pitchFamily="18" charset="0"/>
            </a:rPr>
            <a:t>- Avg 4-week order growth = -7.1%</a:t>
          </a:r>
        </a:p>
        <a:p>
          <a:r>
            <a:rPr lang="en-GB" sz="1400" b="1">
              <a:solidFill>
                <a:schemeClr val="tx1"/>
              </a:solidFill>
              <a:latin typeface="Times New Roman" panose="02020603050405020304" pitchFamily="18" charset="0"/>
              <a:cs typeface="Times New Roman" panose="02020603050405020304" pitchFamily="18" charset="0"/>
            </a:rPr>
            <a:t>- Avg ROAS = 22.40</a:t>
          </a:r>
        </a:p>
        <a:p>
          <a:br>
            <a:rPr lang="en-GB" sz="1400">
              <a:solidFill>
                <a:schemeClr val="tx1"/>
              </a:solidFill>
              <a:latin typeface="Times New Roman" panose="02020603050405020304" pitchFamily="18" charset="0"/>
              <a:cs typeface="Times New Roman" panose="02020603050405020304" pitchFamily="18" charset="0"/>
            </a:rPr>
          </a:br>
          <a:r>
            <a:rPr lang="en-GB" sz="1400">
              <a:solidFill>
                <a:schemeClr val="tx1"/>
              </a:solidFill>
              <a:latin typeface="Times New Roman" panose="02020603050405020304" pitchFamily="18" charset="0"/>
              <a:cs typeface="Times New Roman" panose="02020603050405020304" pitchFamily="18" charset="0"/>
            </a:rPr>
            <a:t>Decline is </a:t>
          </a:r>
          <a:r>
            <a:rPr lang="en-GB" sz="1400" b="1">
              <a:solidFill>
                <a:schemeClr val="tx1"/>
              </a:solidFill>
              <a:latin typeface="Times New Roman" panose="02020603050405020304" pitchFamily="18" charset="0"/>
              <a:cs typeface="Times New Roman" panose="02020603050405020304" pitchFamily="18" charset="0"/>
            </a:rPr>
            <a:t>not uniform</a:t>
          </a:r>
          <a:r>
            <a:rPr lang="en-GB" sz="1400">
              <a:solidFill>
                <a:schemeClr val="tx1"/>
              </a:solidFill>
              <a:latin typeface="Times New Roman" panose="02020603050405020304" pitchFamily="18" charset="0"/>
              <a:cs typeface="Times New Roman" panose="02020603050405020304" pitchFamily="18" charset="0"/>
            </a:rPr>
            <a:t>. Some segments have strong ROAS but still negative growth, pointing to </a:t>
          </a:r>
          <a:r>
            <a:rPr lang="en-GB" sz="1400" b="1">
              <a:solidFill>
                <a:schemeClr val="tx1"/>
              </a:solidFill>
              <a:latin typeface="Times New Roman" panose="02020603050405020304" pitchFamily="18" charset="0"/>
              <a:cs typeface="Times New Roman" panose="02020603050405020304" pitchFamily="18" charset="0"/>
            </a:rPr>
            <a:t>ops/reliability constraints</a:t>
          </a:r>
          <a:r>
            <a:rPr lang="en-GB" sz="1400">
              <a:solidFill>
                <a:schemeClr val="tx1"/>
              </a:solidFill>
              <a:latin typeface="Times New Roman" panose="02020603050405020304" pitchFamily="18" charset="0"/>
              <a:cs typeface="Times New Roman" panose="02020603050405020304" pitchFamily="18" charset="0"/>
            </a:rPr>
            <a:t> rather than marketing alone</a:t>
          </a:r>
        </a:p>
        <a:p>
          <a:endParaRPr lang="en-GB">
            <a:solidFill>
              <a:schemeClr val="tx1"/>
            </a:solidFill>
          </a:endParaRPr>
        </a:p>
        <a:p>
          <a:endParaRPr lang="en-GB" sz="1100">
            <a:solidFill>
              <a:schemeClr val="tx1"/>
            </a:solidFill>
          </a:endParaRPr>
        </a:p>
      </xdr:txBody>
    </xdr:sp>
    <xdr:clientData/>
  </xdr:twoCellAnchor>
  <xdr:twoCellAnchor>
    <xdr:from>
      <xdr:col>0</xdr:col>
      <xdr:colOff>520702</xdr:colOff>
      <xdr:row>21</xdr:row>
      <xdr:rowOff>23092</xdr:rowOff>
    </xdr:from>
    <xdr:to>
      <xdr:col>7</xdr:col>
      <xdr:colOff>577273</xdr:colOff>
      <xdr:row>50</xdr:row>
      <xdr:rowOff>115455</xdr:rowOff>
    </xdr:to>
    <xdr:sp macro="" textlink="">
      <xdr:nvSpPr>
        <xdr:cNvPr id="13" name="TextBox 12">
          <a:extLst>
            <a:ext uri="{FF2B5EF4-FFF2-40B4-BE49-F238E27FC236}">
              <a16:creationId xmlns:a16="http://schemas.microsoft.com/office/drawing/2014/main" id="{22A6E05A-CF7D-F71E-4BE2-F23BD20A40B7}"/>
            </a:ext>
          </a:extLst>
        </xdr:cNvPr>
        <xdr:cNvSpPr txBox="1"/>
      </xdr:nvSpPr>
      <xdr:spPr>
        <a:xfrm>
          <a:off x="520702" y="4548910"/>
          <a:ext cx="9339116" cy="6119090"/>
        </a:xfrm>
        <a:prstGeom prst="rect">
          <a:avLst/>
        </a:prstGeom>
        <a:solidFill>
          <a:srgbClr val="EB1700"/>
        </a:solid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ctr"/>
        <a:lstStyle/>
        <a:p>
          <a:pPr algn="l"/>
          <a:r>
            <a:rPr lang="en-GB" sz="1800" b="1">
              <a:latin typeface="Times New Roman" panose="02020603050405020304" pitchFamily="18" charset="0"/>
              <a:cs typeface="Times New Roman" panose="02020603050405020304" pitchFamily="18" charset="0"/>
            </a:rPr>
            <a:t>Executive Summary </a:t>
          </a:r>
          <a:br>
            <a:rPr lang="en-GB" sz="1800" b="1">
              <a:latin typeface="Times New Roman" panose="02020603050405020304" pitchFamily="18" charset="0"/>
              <a:cs typeface="Times New Roman" panose="02020603050405020304" pitchFamily="18" charset="0"/>
            </a:rPr>
          </a:br>
          <a:br>
            <a:rPr lang="en-GB" sz="1800" b="1">
              <a:latin typeface="Times New Roman" panose="02020603050405020304" pitchFamily="18" charset="0"/>
              <a:cs typeface="Times New Roman" panose="02020603050405020304" pitchFamily="18" charset="0"/>
            </a:rPr>
          </a:br>
          <a:r>
            <a:rPr lang="en-GB" sz="1800" b="0">
              <a:latin typeface="Times New Roman" panose="02020603050405020304" pitchFamily="18" charset="0"/>
              <a:cs typeface="Times New Roman" panose="02020603050405020304" pitchFamily="18" charset="0"/>
            </a:rPr>
            <a:t>1. </a:t>
          </a:r>
          <a:r>
            <a:rPr lang="en-GB" sz="1800">
              <a:latin typeface="Times New Roman" panose="02020603050405020304" pitchFamily="18" charset="0"/>
              <a:cs typeface="Times New Roman" panose="02020603050405020304" pitchFamily="18" charset="0"/>
            </a:rPr>
            <a:t>Overall portfolio is stable on health (Avg </a:t>
          </a:r>
          <a:r>
            <a:rPr lang="en-GB" sz="1800" b="1">
              <a:latin typeface="Times New Roman" panose="02020603050405020304" pitchFamily="18" charset="0"/>
              <a:cs typeface="Times New Roman" panose="02020603050405020304" pitchFamily="18" charset="0"/>
            </a:rPr>
            <a:t>50</a:t>
          </a:r>
          <a:r>
            <a:rPr lang="en-GB" sz="1800">
              <a:latin typeface="Times New Roman" panose="02020603050405020304" pitchFamily="18" charset="0"/>
              <a:cs typeface="Times New Roman" panose="02020603050405020304" pitchFamily="18" charset="0"/>
            </a:rPr>
            <a:t>) but demand is down (Avg 4Week growth </a:t>
          </a:r>
          <a:r>
            <a:rPr lang="en-GB" sz="1800" b="1">
              <a:latin typeface="Times New Roman" panose="02020603050405020304" pitchFamily="18" charset="0"/>
              <a:cs typeface="Times New Roman" panose="02020603050405020304" pitchFamily="18" charset="0"/>
            </a:rPr>
            <a:t>-7.1%</a:t>
          </a:r>
          <a:r>
            <a:rPr lang="en-GB" sz="1800">
              <a:latin typeface="Times New Roman" panose="02020603050405020304" pitchFamily="18" charset="0"/>
              <a:cs typeface="Times New Roman" panose="02020603050405020304" pitchFamily="18" charset="0"/>
            </a:rPr>
            <a:t>) with solid efficiency (Avg ROAS </a:t>
          </a:r>
          <a:r>
            <a:rPr lang="en-GB" sz="1800" b="1">
              <a:latin typeface="Times New Roman" panose="02020603050405020304" pitchFamily="18" charset="0"/>
              <a:cs typeface="Times New Roman" panose="02020603050405020304" pitchFamily="18" charset="0"/>
            </a:rPr>
            <a:t>22.40</a:t>
          </a:r>
          <a:r>
            <a:rPr lang="en-GB" sz="1800">
              <a:latin typeface="Times New Roman" panose="02020603050405020304" pitchFamily="18" charset="0"/>
              <a:cs typeface="Times New Roman" panose="02020603050405020304" pitchFamily="18" charset="0"/>
            </a:rPr>
            <a:t>).</a:t>
          </a:r>
        </a:p>
        <a:p>
          <a:pPr algn="l"/>
          <a:endParaRPr lang="en-GB" sz="1800" b="1">
            <a:latin typeface="Times New Roman" panose="02020603050405020304" pitchFamily="18" charset="0"/>
            <a:cs typeface="Times New Roman" panose="02020603050405020304" pitchFamily="18" charset="0"/>
          </a:endParaRPr>
        </a:p>
        <a:p>
          <a:pPr algn="l"/>
          <a:r>
            <a:rPr lang="en-GB" sz="1800" b="0">
              <a:latin typeface="Times New Roman" panose="02020603050405020304" pitchFamily="18" charset="0"/>
              <a:cs typeface="Times New Roman" panose="02020603050405020304" pitchFamily="18" charset="0"/>
            </a:rPr>
            <a:t>2</a:t>
          </a:r>
          <a:r>
            <a:rPr lang="en-GB" sz="1800" b="1">
              <a:latin typeface="Times New Roman" panose="02020603050405020304" pitchFamily="18" charset="0"/>
              <a:cs typeface="Times New Roman" panose="02020603050405020304" pitchFamily="18" charset="0"/>
            </a:rPr>
            <a:t>. At Risk</a:t>
          </a:r>
          <a:r>
            <a:rPr lang="en-GB" sz="1800">
              <a:latin typeface="Times New Roman" panose="02020603050405020304" pitchFamily="18" charset="0"/>
              <a:cs typeface="Times New Roman" panose="02020603050405020304" pitchFamily="18" charset="0"/>
            </a:rPr>
            <a:t> is the main recovery lever (</a:t>
          </a:r>
          <a:r>
            <a:rPr lang="en-GB" sz="1800" b="1">
              <a:latin typeface="Times New Roman" panose="02020603050405020304" pitchFamily="18" charset="0"/>
              <a:cs typeface="Times New Roman" panose="02020603050405020304" pitchFamily="18" charset="0"/>
            </a:rPr>
            <a:t>59 merchants</a:t>
          </a:r>
          <a:r>
            <a:rPr lang="en-GB" sz="1800">
              <a:latin typeface="Times New Roman" panose="02020603050405020304" pitchFamily="18" charset="0"/>
              <a:cs typeface="Times New Roman" panose="02020603050405020304" pitchFamily="18" charset="0"/>
            </a:rPr>
            <a:t>) with the lowest health (</a:t>
          </a:r>
          <a:r>
            <a:rPr lang="en-GB" sz="1800" b="1">
              <a:latin typeface="Times New Roman" panose="02020603050405020304" pitchFamily="18" charset="0"/>
              <a:cs typeface="Times New Roman" panose="02020603050405020304" pitchFamily="18" charset="0"/>
            </a:rPr>
            <a:t>34</a:t>
          </a:r>
          <a:r>
            <a:rPr lang="en-GB" sz="1800">
              <a:latin typeface="Times New Roman" panose="02020603050405020304" pitchFamily="18" charset="0"/>
              <a:cs typeface="Times New Roman" panose="02020603050405020304" pitchFamily="18" charset="0"/>
            </a:rPr>
            <a:t>) and steepest decline (</a:t>
          </a:r>
          <a:r>
            <a:rPr lang="en-GB" sz="1800" b="1">
              <a:latin typeface="Times New Roman" panose="02020603050405020304" pitchFamily="18" charset="0"/>
              <a:cs typeface="Times New Roman" panose="02020603050405020304" pitchFamily="18" charset="0"/>
            </a:rPr>
            <a:t>-10.7%</a:t>
          </a:r>
          <a:r>
            <a:rPr lang="en-GB" sz="1800">
              <a:latin typeface="Times New Roman" panose="02020603050405020304" pitchFamily="18" charset="0"/>
              <a:cs typeface="Times New Roman" panose="02020603050405020304" pitchFamily="18" charset="0"/>
            </a:rPr>
            <a:t>) despite strong ROAS (</a:t>
          </a:r>
          <a:r>
            <a:rPr lang="en-GB" sz="1800" b="1">
              <a:latin typeface="Times New Roman" panose="02020603050405020304" pitchFamily="18" charset="0"/>
              <a:cs typeface="Times New Roman" panose="02020603050405020304" pitchFamily="18" charset="0"/>
            </a:rPr>
            <a:t>24.85</a:t>
          </a:r>
          <a:r>
            <a:rPr lang="en-GB" sz="1800">
              <a:latin typeface="Times New Roman" panose="02020603050405020304" pitchFamily="18" charset="0"/>
              <a:cs typeface="Times New Roman" panose="02020603050405020304" pitchFamily="18" charset="0"/>
            </a:rPr>
            <a:t>).</a:t>
          </a:r>
        </a:p>
        <a:p>
          <a:pPr algn="l"/>
          <a:endParaRPr lang="en-GB" sz="1800">
            <a:latin typeface="Times New Roman" panose="02020603050405020304" pitchFamily="18" charset="0"/>
            <a:cs typeface="Times New Roman" panose="02020603050405020304" pitchFamily="18" charset="0"/>
          </a:endParaRPr>
        </a:p>
        <a:p>
          <a:pPr algn="l"/>
          <a:r>
            <a:rPr lang="en-GB" sz="1800">
              <a:latin typeface="Times New Roman" panose="02020603050405020304" pitchFamily="18" charset="0"/>
              <a:cs typeface="Times New Roman" panose="02020603050405020304" pitchFamily="18" charset="0"/>
            </a:rPr>
            <a:t>3. Pattern across cities/categories shows </a:t>
          </a:r>
          <a:r>
            <a:rPr lang="en-GB" sz="1800" b="1">
              <a:latin typeface="Times New Roman" panose="02020603050405020304" pitchFamily="18" charset="0"/>
              <a:cs typeface="Times New Roman" panose="02020603050405020304" pitchFamily="18" charset="0"/>
            </a:rPr>
            <a:t>high ROAS + negative growth</a:t>
          </a:r>
          <a:r>
            <a:rPr lang="en-GB" sz="1800">
              <a:latin typeface="Times New Roman" panose="02020603050405020304" pitchFamily="18" charset="0"/>
              <a:cs typeface="Times New Roman" panose="02020603050405020304" pitchFamily="18" charset="0"/>
            </a:rPr>
            <a:t>, pointing to </a:t>
          </a:r>
          <a:r>
            <a:rPr lang="en-GB" sz="1800" b="1">
              <a:latin typeface="Times New Roman" panose="02020603050405020304" pitchFamily="18" charset="0"/>
              <a:cs typeface="Times New Roman" panose="02020603050405020304" pitchFamily="18" charset="0"/>
            </a:rPr>
            <a:t>ops/reliability constraints</a:t>
          </a:r>
          <a:r>
            <a:rPr lang="en-GB" sz="1800">
              <a:latin typeface="Times New Roman" panose="02020603050405020304" pitchFamily="18" charset="0"/>
              <a:cs typeface="Times New Roman" panose="02020603050405020304" pitchFamily="18" charset="0"/>
            </a:rPr>
            <a:t> as the primary limiter vs marketing.</a:t>
          </a:r>
        </a:p>
        <a:p>
          <a:pPr algn="l"/>
          <a:br>
            <a:rPr lang="en-GB" sz="1800" b="1">
              <a:latin typeface="Times New Roman" panose="02020603050405020304" pitchFamily="18" charset="0"/>
              <a:cs typeface="Times New Roman" panose="02020603050405020304" pitchFamily="18" charset="0"/>
            </a:rPr>
          </a:br>
          <a:r>
            <a:rPr lang="en-GB" sz="1800" b="0">
              <a:latin typeface="Times New Roman" panose="02020603050405020304" pitchFamily="18" charset="0"/>
              <a:cs typeface="Times New Roman" panose="02020603050405020304" pitchFamily="18" charset="0"/>
            </a:rPr>
            <a:t>4.</a:t>
          </a:r>
          <a:r>
            <a:rPr lang="en-GB" sz="1800" b="0" baseline="0">
              <a:latin typeface="Times New Roman" panose="02020603050405020304" pitchFamily="18" charset="0"/>
              <a:cs typeface="Times New Roman" panose="02020603050405020304" pitchFamily="18" charset="0"/>
            </a:rPr>
            <a:t> </a:t>
          </a:r>
          <a:r>
            <a:rPr lang="en-GB" sz="1800" b="1">
              <a:latin typeface="Times New Roman" panose="02020603050405020304" pitchFamily="18" charset="0"/>
              <a:cs typeface="Times New Roman" panose="02020603050405020304" pitchFamily="18" charset="0"/>
            </a:rPr>
            <a:t>Ops Constrained</a:t>
          </a:r>
          <a:r>
            <a:rPr lang="en-GB" sz="1800">
              <a:latin typeface="Times New Roman" panose="02020603050405020304" pitchFamily="18" charset="0"/>
              <a:cs typeface="Times New Roman" panose="02020603050405020304" pitchFamily="18" charset="0"/>
            </a:rPr>
            <a:t> is the fastest unlock (</a:t>
          </a:r>
          <a:r>
            <a:rPr lang="en-GB" sz="1800" b="1">
              <a:latin typeface="Times New Roman" panose="02020603050405020304" pitchFamily="18" charset="0"/>
              <a:cs typeface="Times New Roman" panose="02020603050405020304" pitchFamily="18" charset="0"/>
            </a:rPr>
            <a:t>38 merchants</a:t>
          </a:r>
          <a:r>
            <a:rPr lang="en-GB" sz="1800">
              <a:latin typeface="Times New Roman" panose="02020603050405020304" pitchFamily="18" charset="0"/>
              <a:cs typeface="Times New Roman" panose="02020603050405020304" pitchFamily="18" charset="0"/>
            </a:rPr>
            <a:t>) with the highest ROAS (</a:t>
          </a:r>
          <a:r>
            <a:rPr lang="en-GB" sz="1800" b="1">
              <a:latin typeface="Times New Roman" panose="02020603050405020304" pitchFamily="18" charset="0"/>
              <a:cs typeface="Times New Roman" panose="02020603050405020304" pitchFamily="18" charset="0"/>
            </a:rPr>
            <a:t>28.26</a:t>
          </a:r>
          <a:r>
            <a:rPr lang="en-GB" sz="1800">
              <a:latin typeface="Times New Roman" panose="02020603050405020304" pitchFamily="18" charset="0"/>
              <a:cs typeface="Times New Roman" panose="02020603050405020304" pitchFamily="18" charset="0"/>
            </a:rPr>
            <a:t>) and near flat decline (</a:t>
          </a:r>
          <a:r>
            <a:rPr lang="en-GB" sz="1800" b="1">
              <a:latin typeface="Times New Roman" panose="02020603050405020304" pitchFamily="18" charset="0"/>
              <a:cs typeface="Times New Roman" panose="02020603050405020304" pitchFamily="18" charset="0"/>
            </a:rPr>
            <a:t>-2.1%</a:t>
          </a:r>
          <a:r>
            <a:rPr lang="en-GB" sz="1800">
              <a:latin typeface="Times New Roman" panose="02020603050405020304" pitchFamily="18" charset="0"/>
              <a:cs typeface="Times New Roman" panose="02020603050405020304" pitchFamily="18" charset="0"/>
            </a:rPr>
            <a:t>) once prep time/cancellations improve.</a:t>
          </a:r>
        </a:p>
        <a:p>
          <a:pPr algn="l"/>
          <a:br>
            <a:rPr lang="en-GB" sz="1800" b="1">
              <a:latin typeface="Times New Roman" panose="02020603050405020304" pitchFamily="18" charset="0"/>
              <a:cs typeface="Times New Roman" panose="02020603050405020304" pitchFamily="18" charset="0"/>
            </a:rPr>
          </a:br>
          <a:r>
            <a:rPr lang="en-GB" sz="1800" b="0">
              <a:latin typeface="Times New Roman" panose="02020603050405020304" pitchFamily="18" charset="0"/>
              <a:cs typeface="Times New Roman" panose="02020603050405020304" pitchFamily="18" charset="0"/>
            </a:rPr>
            <a:t>5. </a:t>
          </a:r>
          <a:r>
            <a:rPr lang="en-GB" sz="1800" b="1">
              <a:latin typeface="Times New Roman" panose="02020603050405020304" pitchFamily="18" charset="0"/>
              <a:cs typeface="Times New Roman" panose="02020603050405020304" pitchFamily="18" charset="0"/>
            </a:rPr>
            <a:t>Ad Inefficient</a:t>
          </a:r>
          <a:r>
            <a:rPr lang="en-GB" sz="1800">
              <a:latin typeface="Times New Roman" panose="02020603050405020304" pitchFamily="18" charset="0"/>
              <a:cs typeface="Times New Roman" panose="02020603050405020304" pitchFamily="18" charset="0"/>
            </a:rPr>
            <a:t> needs spend control first (ROAS </a:t>
          </a:r>
          <a:r>
            <a:rPr lang="en-GB" sz="1800" b="1">
              <a:latin typeface="Times New Roman" panose="02020603050405020304" pitchFamily="18" charset="0"/>
              <a:cs typeface="Times New Roman" panose="02020603050405020304" pitchFamily="18" charset="0"/>
            </a:rPr>
            <a:t>9.79</a:t>
          </a:r>
          <a:r>
            <a:rPr lang="en-GB" sz="1800">
              <a:latin typeface="Times New Roman" panose="02020603050405020304" pitchFamily="18" charset="0"/>
              <a:cs typeface="Times New Roman" panose="02020603050405020304" pitchFamily="18" charset="0"/>
            </a:rPr>
            <a:t>) while </a:t>
          </a:r>
          <a:r>
            <a:rPr lang="en-GB" sz="1800" b="1">
              <a:latin typeface="Times New Roman" panose="02020603050405020304" pitchFamily="18" charset="0"/>
              <a:cs typeface="Times New Roman" panose="02020603050405020304" pitchFamily="18" charset="0"/>
            </a:rPr>
            <a:t>High Potential</a:t>
          </a:r>
          <a:r>
            <a:rPr lang="en-GB" sz="1800">
              <a:latin typeface="Times New Roman" panose="02020603050405020304" pitchFamily="18" charset="0"/>
              <a:cs typeface="Times New Roman" panose="02020603050405020304" pitchFamily="18" charset="0"/>
            </a:rPr>
            <a:t> (Health </a:t>
          </a:r>
          <a:r>
            <a:rPr lang="en-GB" sz="1800" b="1">
              <a:latin typeface="Times New Roman" panose="02020603050405020304" pitchFamily="18" charset="0"/>
              <a:cs typeface="Times New Roman" panose="02020603050405020304" pitchFamily="18" charset="0"/>
            </a:rPr>
            <a:t>71</a:t>
          </a:r>
          <a:r>
            <a:rPr lang="en-GB" sz="1800">
              <a:latin typeface="Times New Roman" panose="02020603050405020304" pitchFamily="18" charset="0"/>
              <a:cs typeface="Times New Roman" panose="02020603050405020304" pitchFamily="18" charset="0"/>
            </a:rPr>
            <a:t>, ROAS </a:t>
          </a:r>
          <a:r>
            <a:rPr lang="en-GB" sz="1800" b="1">
              <a:latin typeface="Times New Roman" panose="02020603050405020304" pitchFamily="18" charset="0"/>
              <a:cs typeface="Times New Roman" panose="02020603050405020304" pitchFamily="18" charset="0"/>
            </a:rPr>
            <a:t>24.14</a:t>
          </a:r>
          <a:r>
            <a:rPr lang="en-GB" sz="1800">
              <a:latin typeface="Times New Roman" panose="02020603050405020304" pitchFamily="18" charset="0"/>
              <a:cs typeface="Times New Roman" panose="02020603050405020304" pitchFamily="18" charset="0"/>
            </a:rPr>
            <a:t>) is best for structured upsell tests.</a:t>
          </a:r>
        </a:p>
        <a:p>
          <a:pPr algn="l"/>
          <a:br>
            <a:rPr lang="en-GB" sz="1800">
              <a:latin typeface="Times New Roman" panose="02020603050405020304" pitchFamily="18" charset="0"/>
              <a:cs typeface="Times New Roman" panose="02020603050405020304" pitchFamily="18" charset="0"/>
            </a:rPr>
          </a:br>
          <a:r>
            <a:rPr lang="en-GB" sz="1800">
              <a:latin typeface="Times New Roman" panose="02020603050405020304" pitchFamily="18" charset="0"/>
              <a:cs typeface="Times New Roman" panose="02020603050405020304" pitchFamily="18" charset="0"/>
            </a:rPr>
            <a:t>6. </a:t>
          </a:r>
          <a:r>
            <a:rPr lang="en-GB" sz="1800" i="1">
              <a:latin typeface="Times New Roman" panose="02020603050405020304" pitchFamily="18" charset="0"/>
              <a:cs typeface="Times New Roman" panose="02020603050405020304" pitchFamily="18" charset="0"/>
            </a:rPr>
            <a:t>Focus markets: </a:t>
          </a:r>
        </a:p>
        <a:p>
          <a:pPr algn="l"/>
          <a:r>
            <a:rPr lang="en-GB" sz="1800" b="1">
              <a:latin typeface="Times New Roman" panose="02020603050405020304" pitchFamily="18" charset="0"/>
              <a:cs typeface="Times New Roman" panose="02020603050405020304" pitchFamily="18" charset="0"/>
            </a:rPr>
            <a:t>Denver/NY</a:t>
          </a:r>
          <a:r>
            <a:rPr lang="en-GB" sz="1800">
              <a:latin typeface="Times New Roman" panose="02020603050405020304" pitchFamily="18" charset="0"/>
              <a:cs typeface="Times New Roman" panose="02020603050405020304" pitchFamily="18" charset="0"/>
            </a:rPr>
            <a:t> for recovery (high decline)</a:t>
          </a:r>
        </a:p>
        <a:p>
          <a:pPr algn="l"/>
          <a:r>
            <a:rPr lang="en-GB" sz="1800" b="1">
              <a:latin typeface="Times New Roman" panose="02020603050405020304" pitchFamily="18" charset="0"/>
              <a:cs typeface="Times New Roman" panose="02020603050405020304" pitchFamily="18" charset="0"/>
            </a:rPr>
            <a:t>Chicago/Boston</a:t>
          </a:r>
          <a:r>
            <a:rPr lang="en-GB" sz="1800">
              <a:latin typeface="Times New Roman" panose="02020603050405020304" pitchFamily="18" charset="0"/>
              <a:cs typeface="Times New Roman" panose="02020603050405020304" pitchFamily="18" charset="0"/>
            </a:rPr>
            <a:t> for health fixes</a:t>
          </a:r>
        </a:p>
        <a:p>
          <a:pPr algn="l"/>
          <a:r>
            <a:rPr lang="en-GB" sz="1800" b="1">
              <a:latin typeface="Times New Roman" panose="02020603050405020304" pitchFamily="18" charset="0"/>
              <a:cs typeface="Times New Roman" panose="02020603050405020304" pitchFamily="18" charset="0"/>
            </a:rPr>
            <a:t>Austin/LA</a:t>
          </a:r>
          <a:r>
            <a:rPr lang="en-GB" sz="1800">
              <a:latin typeface="Times New Roman" panose="02020603050405020304" pitchFamily="18" charset="0"/>
              <a:cs typeface="Times New Roman" panose="02020603050405020304" pitchFamily="18" charset="0"/>
            </a:rPr>
            <a:t> for controlled growth experiments.</a:t>
          </a:r>
        </a:p>
        <a:p>
          <a:endParaRPr lang="en-GB" sz="1800">
            <a:latin typeface="Times New Roman" panose="02020603050405020304" pitchFamily="18" charset="0"/>
            <a:cs typeface="Times New Roman" panose="02020603050405020304" pitchFamily="18"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utuja Hande" refreshedDate="46035.83772210648" createdVersion="8" refreshedVersion="8" minRefreshableVersion="3" recordCount="200" xr:uid="{585D459A-CD0D-E243-938A-8CF77E5BF5C2}">
  <cacheSource type="worksheet">
    <worksheetSource name="tblSMB"/>
  </cacheSource>
  <cacheFields count="28">
    <cacheField name="merchant_id" numFmtId="0">
      <sharedItems/>
    </cacheField>
    <cacheField name="week_start" numFmtId="14">
      <sharedItems containsSemiMixedTypes="0" containsNonDate="0" containsDate="1" containsString="0" minDate="2026-01-05T00:00:00" maxDate="2026-01-06T00:00:00"/>
    </cacheField>
    <cacheField name="city" numFmtId="0">
      <sharedItems count="10">
        <s v="Boston"/>
        <s v="New York"/>
        <s v="Chicago"/>
        <s v="Washington DC"/>
        <s v="Denver"/>
        <s v="Los Angeles"/>
        <s v="Austin"/>
        <s v="San Francisco"/>
        <s v="Athlanta"/>
        <s v="Seattle"/>
      </sharedItems>
    </cacheField>
    <cacheField name="category" numFmtId="0">
      <sharedItems count="6">
        <s v="Grocery"/>
        <s v="Pharmacy"/>
        <s v="Convenience"/>
        <s v="Retail"/>
        <s v="Restaurant"/>
        <s v="Cafe"/>
      </sharedItems>
    </cacheField>
    <cacheField name="orders" numFmtId="0">
      <sharedItems containsSemiMixedTypes="0" containsString="0" containsNumber="1" containsInteger="1" minValue="76" maxValue="323"/>
    </cacheField>
    <cacheField name="revenue" numFmtId="0">
      <sharedItems containsSemiMixedTypes="0" containsString="0" containsNumber="1" minValue="1323.36" maxValue="16423.099999999999"/>
    </cacheField>
    <cacheField name="orders_last_4w" numFmtId="0">
      <sharedItems containsSemiMixedTypes="0" containsString="0" containsNumber="1" containsInteger="1" minValue="309" maxValue="1168"/>
    </cacheField>
    <cacheField name="orders_growth_4w" numFmtId="166">
      <sharedItems containsSemiMixedTypes="0" containsString="0" containsNumber="1" minValue="-0.24690999999999999" maxValue="8.8929999999999995E-2"/>
    </cacheField>
    <cacheField name="cancel_rate" numFmtId="10">
      <sharedItems containsSemiMixedTypes="0" containsString="0" containsNumber="1" minValue="1.626E-2" maxValue="8.1519999999999995E-2"/>
    </cacheField>
    <cacheField name="refund_rate" numFmtId="10">
      <sharedItems containsSemiMixedTypes="0" containsString="0" containsNumber="1" minValue="5.7099999999999998E-3" maxValue="3.9289999999999999E-2"/>
    </cacheField>
    <cacheField name="prep_time_mins_avg" numFmtId="0">
      <sharedItems containsSemiMixedTypes="0" containsString="0" containsNumber="1" minValue="19.899999999999999" maxValue="50.86"/>
    </cacheField>
    <cacheField name="rating_avg" numFmtId="0">
      <sharedItems containsSemiMixedTypes="0" containsString="0" containsNumber="1" minValue="4.07" maxValue="5"/>
    </cacheField>
    <cacheField name="ad_spend" numFmtId="0">
      <sharedItems containsSemiMixedTypes="0" containsString="0" containsNumber="1" minValue="7.31" maxValue="132.16999999999999"/>
    </cacheField>
    <cacheField name="ad_penetration" numFmtId="0">
      <sharedItems containsSemiMixedTypes="0" containsString="0" containsNumber="1" minValue="5.2630000000000003E-2" maxValue="0.25"/>
    </cacheField>
    <cacheField name="roas" numFmtId="2">
      <sharedItems containsSemiMixedTypes="0" containsString="0" containsNumber="1" minValue="4.1327801331499998" maxValue="101.19807692308"/>
    </cacheField>
    <cacheField name="health_score" numFmtId="1">
      <sharedItems containsSemiMixedTypes="0" containsString="0" containsNumber="1" containsInteger="1" minValue="12" maxValue="85"/>
    </cacheField>
    <cacheField name="top_issue_driver" numFmtId="0">
      <sharedItems/>
    </cacheField>
    <cacheField name="segment" numFmtId="0">
      <sharedItems count="5">
        <s v="At Risk"/>
        <s v="Ops Constrained"/>
        <s v="Ad Inefficient"/>
        <s v="Core"/>
        <s v="High Potential"/>
      </sharedItems>
    </cacheField>
    <cacheField name="priority_rank" numFmtId="0">
      <sharedItems containsSemiMixedTypes="0" containsString="0" containsNumber="1" containsInteger="1" minValue="1" maxValue="5"/>
    </cacheField>
    <cacheField name="next_touch_sla" numFmtId="0">
      <sharedItems/>
    </cacheField>
    <cacheField name="recommended_action_1" numFmtId="0">
      <sharedItems/>
    </cacheField>
    <cacheField name="recommended_action_2" numFmtId="0">
      <sharedItems/>
    </cacheField>
    <cacheField name="recommended_action_3" numFmtId="0">
      <sharedItems/>
    </cacheField>
    <cacheField name="Owner" numFmtId="14">
      <sharedItems containsNonDate="0" containsString="0" containsBlank="1"/>
    </cacheField>
    <cacheField name="next_touch_date" numFmtId="0">
      <sharedItems containsNonDate="0" containsString="0" containsBlank="1"/>
    </cacheField>
    <cacheField name="Status" numFmtId="0">
      <sharedItems containsNonDate="0" containsString="0" containsBlank="1"/>
    </cacheField>
    <cacheField name="priority_rank2" numFmtId="0">
      <sharedItems containsSemiMixedTypes="0" containsString="0" containsNumber="1" containsInteger="1" minValue="1" maxValue="5"/>
    </cacheField>
    <cacheField name="next_touch_sla2" numFmtId="0">
      <sharedItems containsNonDate="0" containsString="0" containsBlank="1"/>
    </cacheField>
  </cacheFields>
  <extLst>
    <ext xmlns:x14="http://schemas.microsoft.com/office/spreadsheetml/2009/9/main" uri="{725AE2AE-9491-48be-B2B4-4EB974FC3084}">
      <x14:pivotCacheDefinition pivotCacheId="5626682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M0048"/>
    <d v="2026-01-05T00:00:00"/>
    <x v="0"/>
    <x v="0"/>
    <n v="184"/>
    <n v="7306.27"/>
    <n v="619"/>
    <n v="-0.18337999999999999"/>
    <n v="8.1519999999999995E-2"/>
    <n v="3.8039999999999997E-2"/>
    <n v="46.23"/>
    <n v="4.1500000000000004"/>
    <n v="14.83"/>
    <n v="0.11957"/>
    <n v="58.905985030339998"/>
    <n v="12"/>
    <s v="High cancellations"/>
    <x v="0"/>
    <n v="1"/>
    <s v="48 hours"/>
    <s v="Fix reliability drivers first, then run targeted promo to regain volume"/>
    <s v="Sales outreach with a 2 week recovery plan and weekly monitoring"/>
    <s v="Measure pre vs post lift: orders, cancellations, refunds, rating"/>
    <m/>
    <m/>
    <m/>
    <n v="1"/>
    <m/>
  </r>
  <r>
    <s v="M0134"/>
    <d v="2026-01-05T00:00:00"/>
    <x v="0"/>
    <x v="0"/>
    <n v="254"/>
    <n v="10174.99"/>
    <n v="891"/>
    <n v="-0.12733"/>
    <n v="7.8740000000000004E-2"/>
    <n v="3.5430000000000003E-2"/>
    <n v="45.52"/>
    <n v="4.13"/>
    <n v="47.27"/>
    <n v="0.12598000000000001"/>
    <n v="27.118436894439998"/>
    <n v="16"/>
    <s v="High cancellations"/>
    <x v="0"/>
    <n v="1"/>
    <s v="48 hours"/>
    <s v="Fix reliability drivers first, then run targeted promo to regain volume"/>
    <s v="Sales outreach with a 2 week recovery plan and weekly monitoring"/>
    <s v="Measure pre vs post lift: orders, cancellations, refunds, rating"/>
    <m/>
    <m/>
    <m/>
    <n v="1"/>
    <m/>
  </r>
  <r>
    <s v="M0050"/>
    <d v="2026-01-05T00:00:00"/>
    <x v="1"/>
    <x v="1"/>
    <n v="137"/>
    <n v="3949.98"/>
    <n v="575"/>
    <n v="-0.14179"/>
    <n v="6.5689999999999998E-2"/>
    <n v="2.92E-2"/>
    <n v="28.96"/>
    <n v="4.1399999999999997"/>
    <n v="22.67"/>
    <n v="0.10219"/>
    <n v="17.805363652400001"/>
    <n v="23"/>
    <s v="High cancellations"/>
    <x v="0"/>
    <n v="1"/>
    <s v="48 hours"/>
    <s v="Fix reliability drivers first, then run targeted promo to regain volume"/>
    <s v="Sales outreach with a 2 week recovery plan and weekly monitoring"/>
    <s v="Measure pre vs post lift: orders, cancellations, refunds, rating"/>
    <m/>
    <m/>
    <m/>
    <n v="1"/>
    <m/>
  </r>
  <r>
    <s v="M0170"/>
    <d v="2026-01-05T00:00:00"/>
    <x v="2"/>
    <x v="2"/>
    <n v="168"/>
    <n v="2964.12"/>
    <n v="649"/>
    <n v="-0.15933"/>
    <n v="5.9520000000000003E-2"/>
    <n v="2.9760000000000002E-2"/>
    <n v="31.27"/>
    <n v="4.51"/>
    <n v="27.37"/>
    <n v="0.17262"/>
    <n v="18.69432075265"/>
    <n v="23"/>
    <s v="High cancellations"/>
    <x v="0"/>
    <n v="1"/>
    <s v="48 hours"/>
    <s v="Fix reliability drivers first, then run targeted promo to regain volume"/>
    <s v="Sales outreach with a 2 week recovery plan and weekly monitoring"/>
    <s v="Measure pre vs post lift: orders, cancellations, refunds, rating"/>
    <m/>
    <m/>
    <m/>
    <n v="1"/>
    <m/>
  </r>
  <r>
    <s v="M0003"/>
    <d v="2026-01-05T00:00:00"/>
    <x v="1"/>
    <x v="3"/>
    <n v="98"/>
    <n v="2265.31"/>
    <n v="424"/>
    <n v="-0.15706000000000001"/>
    <n v="5.1020000000000003E-2"/>
    <n v="3.0609999999999998E-2"/>
    <n v="34.020000000000003"/>
    <n v="4.43"/>
    <n v="12.13"/>
    <n v="7.1429999999999993E-2"/>
    <n v="13.33947699918"/>
    <n v="24"/>
    <s v="Slow prep time"/>
    <x v="0"/>
    <n v="1"/>
    <s v="48 hours"/>
    <s v="Fix reliability drivers first, then run targeted promo to regain volume"/>
    <s v="Sales outreach with a 2 week recovery plan and weekly monitoring"/>
    <s v="Measure pre vs post lift: orders, cancellations, refunds, rating"/>
    <m/>
    <m/>
    <m/>
    <n v="1"/>
    <m/>
  </r>
  <r>
    <s v="M0104"/>
    <d v="2026-01-05T00:00:00"/>
    <x v="3"/>
    <x v="4"/>
    <n v="91"/>
    <n v="2914.91"/>
    <n v="323"/>
    <n v="-0.15884999999999999"/>
    <n v="5.4949999999999999E-2"/>
    <n v="3.2969999999999999E-2"/>
    <n v="30.44"/>
    <n v="4.67"/>
    <n v="30.76"/>
    <n v="0.14285999999999999"/>
    <n v="13.53757197659"/>
    <n v="25"/>
    <s v="High refunds"/>
    <x v="0"/>
    <n v="1"/>
    <s v="48 hours"/>
    <s v="Fix reliability drivers first, then run targeted promo to regain volume"/>
    <s v="Sales outreach with a 2 week recovery plan and weekly monitoring"/>
    <s v="Measure pre vs post lift: orders, cancellations, refunds, rating"/>
    <m/>
    <m/>
    <m/>
    <n v="1"/>
    <m/>
  </r>
  <r>
    <s v="M0169"/>
    <d v="2026-01-05T00:00:00"/>
    <x v="0"/>
    <x v="3"/>
    <n v="184"/>
    <n v="4116.01"/>
    <n v="806"/>
    <n v="-0.17077999999999999"/>
    <n v="4.8910000000000002E-2"/>
    <n v="3.261E-2"/>
    <n v="33.28"/>
    <n v="4.4400000000000004"/>
    <n v="13"/>
    <n v="7.0650000000000004E-2"/>
    <n v="22.369620000000001"/>
    <n v="26"/>
    <s v="High refunds"/>
    <x v="0"/>
    <n v="1"/>
    <s v="48 hours"/>
    <s v="Fix reliability drivers first, then run targeted promo to regain volume"/>
    <s v="Sales outreach with a 2 week recovery plan and weekly monitoring"/>
    <s v="Measure pre vs post lift: orders, cancellations, refunds, rating"/>
    <m/>
    <m/>
    <m/>
    <n v="1"/>
    <m/>
  </r>
  <r>
    <s v="M0105"/>
    <d v="2026-01-05T00:00:00"/>
    <x v="2"/>
    <x v="1"/>
    <n v="153"/>
    <n v="5119.26"/>
    <n v="662"/>
    <n v="-0.15345"/>
    <n v="5.8819999999999997E-2"/>
    <n v="2.614E-2"/>
    <n v="32.380000000000003"/>
    <n v="4.5199999999999996"/>
    <n v="31.31"/>
    <n v="0.12418"/>
    <n v="20.304219227080001"/>
    <n v="26"/>
    <s v="High cancellations"/>
    <x v="0"/>
    <n v="1"/>
    <s v="48 hours"/>
    <s v="Fix reliability drivers first, then run targeted promo to regain volume"/>
    <s v="Sales outreach with a 2 week recovery plan and weekly monitoring"/>
    <s v="Measure pre vs post lift: orders, cancellations, refunds, rating"/>
    <m/>
    <m/>
    <m/>
    <n v="1"/>
    <m/>
  </r>
  <r>
    <s v="M0075"/>
    <d v="2026-01-05T00:00:00"/>
    <x v="4"/>
    <x v="0"/>
    <n v="142"/>
    <n v="5696.05"/>
    <n v="540"/>
    <n v="-7.85E-2"/>
    <n v="6.3380000000000006E-2"/>
    <n v="2.8170000000000001E-2"/>
    <n v="45.58"/>
    <n v="4.25"/>
    <n v="54.99"/>
    <n v="0.11971999999999999"/>
    <n v="12.40082698672"/>
    <n v="26"/>
    <s v="High cancellations"/>
    <x v="0"/>
    <n v="1"/>
    <s v="48 hours"/>
    <s v="Fix reliability drivers first, then run targeted promo to regain volume"/>
    <s v="Sales outreach with a 2 week recovery plan and weekly monitoring"/>
    <s v="Measure pre vs post lift: orders, cancellations, refunds, rating"/>
    <m/>
    <m/>
    <m/>
    <n v="1"/>
    <m/>
  </r>
  <r>
    <s v="M0172"/>
    <d v="2026-01-05T00:00:00"/>
    <x v="1"/>
    <x v="2"/>
    <n v="105"/>
    <n v="2034.58"/>
    <n v="350"/>
    <n v="-0.16667000000000001"/>
    <n v="5.7140000000000003E-2"/>
    <n v="2.8570000000000002E-2"/>
    <n v="33.14"/>
    <n v="4.6500000000000004"/>
    <n v="9.5500000000000007"/>
    <n v="0.13333"/>
    <n v="28.406002931940002"/>
    <n v="28"/>
    <s v="Declining orders"/>
    <x v="0"/>
    <n v="1"/>
    <s v="48 hours"/>
    <s v="Fix reliability drivers first, then run targeted promo to regain volume"/>
    <s v="Sales outreach with a 2 week recovery plan and weekly monitoring"/>
    <s v="Measure pre vs post lift: orders, cancellations, refunds, rating"/>
    <m/>
    <m/>
    <m/>
    <n v="1"/>
    <m/>
  </r>
  <r>
    <s v="M0177"/>
    <d v="2026-01-05T00:00:00"/>
    <x v="5"/>
    <x v="3"/>
    <n v="121"/>
    <n v="2614.08"/>
    <n v="408"/>
    <n v="-0.10722"/>
    <n v="5.7849999999999999E-2"/>
    <n v="3.3059999999999999E-2"/>
    <n v="27.6"/>
    <n v="4.3600000000000003"/>
    <n v="51.6"/>
    <n v="0.14876"/>
    <n v="7.5362675581399996"/>
    <n v="28"/>
    <s v="High cancellations"/>
    <x v="0"/>
    <n v="1"/>
    <s v="48 hours"/>
    <s v="Fix reliability drivers first, then run targeted promo to regain volume"/>
    <s v="Sales outreach with a 2 week recovery plan and weekly monitoring"/>
    <s v="Measure pre vs post lift: orders, cancellations, refunds, rating"/>
    <m/>
    <m/>
    <m/>
    <n v="1"/>
    <m/>
  </r>
  <r>
    <s v="M0053"/>
    <d v="2026-01-05T00:00:00"/>
    <x v="1"/>
    <x v="2"/>
    <n v="192"/>
    <n v="3297.37"/>
    <n v="733"/>
    <n v="-0.12321"/>
    <n v="5.2080000000000001E-2"/>
    <n v="3.125E-2"/>
    <n v="33.200000000000003"/>
    <n v="4.33"/>
    <n v="10.96"/>
    <n v="7.8130000000000005E-2"/>
    <n v="23.504291058389999"/>
    <n v="30"/>
    <s v="High refunds"/>
    <x v="0"/>
    <n v="1"/>
    <s v="48 hours"/>
    <s v="Fix reliability drivers first, then run targeted promo to regain volume"/>
    <s v="Sales outreach with a 2 week recovery plan and weekly monitoring"/>
    <s v="Measure pre vs post lift: orders, cancellations, refunds, rating"/>
    <m/>
    <m/>
    <m/>
    <n v="1"/>
    <m/>
  </r>
  <r>
    <s v="M0005"/>
    <d v="2026-01-05T00:00:00"/>
    <x v="6"/>
    <x v="4"/>
    <n v="132"/>
    <n v="3291.29"/>
    <n v="548"/>
    <n v="-0.11327"/>
    <n v="5.3030000000000001E-2"/>
    <n v="3.0300000000000001E-2"/>
    <n v="33.81"/>
    <n v="4.21"/>
    <n v="19.239999999999998"/>
    <n v="0.10606"/>
    <n v="18.143254158000001"/>
    <n v="30"/>
    <s v="High refunds"/>
    <x v="0"/>
    <n v="1"/>
    <s v="48 hours"/>
    <s v="Fix reliability drivers first, then run targeted promo to regain volume"/>
    <s v="Sales outreach with a 2 week recovery plan and weekly monitoring"/>
    <s v="Measure pre vs post lift: orders, cancellations, refunds, rating"/>
    <m/>
    <m/>
    <m/>
    <n v="1"/>
    <m/>
  </r>
  <r>
    <s v="M0056"/>
    <d v="2026-01-05T00:00:00"/>
    <x v="7"/>
    <x v="3"/>
    <n v="253"/>
    <n v="6374.18"/>
    <n v="1000"/>
    <n v="-0.11426"/>
    <n v="5.534E-2"/>
    <n v="2.767E-2"/>
    <n v="34.979999999999997"/>
    <n v="4.6100000000000003"/>
    <n v="54.34"/>
    <n v="0.10277"/>
    <n v="12.05473062201"/>
    <n v="30"/>
    <s v="Slow prep time"/>
    <x v="0"/>
    <n v="1"/>
    <s v="48 hours"/>
    <s v="Fix reliability drivers first, then run targeted promo to regain volume"/>
    <s v="Sales outreach with a 2 week recovery plan and weekly monitoring"/>
    <s v="Measure pre vs post lift: orders, cancellations, refunds, rating"/>
    <m/>
    <m/>
    <m/>
    <n v="1"/>
    <m/>
  </r>
  <r>
    <s v="M0161"/>
    <d v="2026-01-05T00:00:00"/>
    <x v="5"/>
    <x v="0"/>
    <n v="275"/>
    <n v="11183.29"/>
    <n v="970"/>
    <n v="-6.1500000000000001E-3"/>
    <n v="7.6359999999999997E-2"/>
    <n v="3.6360000000000003E-2"/>
    <n v="49.76"/>
    <n v="4.18"/>
    <n v="79.42"/>
    <n v="0.13091"/>
    <n v="18.433572450260002"/>
    <n v="30"/>
    <s v="High cancellations"/>
    <x v="0"/>
    <n v="1"/>
    <s v="48 hours"/>
    <s v="Fix reliability drivers first, then run targeted promo to regain volume"/>
    <s v="Sales outreach with a 2 week recovery plan and weekly monitoring"/>
    <s v="Measure pre vs post lift: orders, cancellations, refunds, rating"/>
    <m/>
    <m/>
    <m/>
    <n v="1"/>
    <m/>
  </r>
  <r>
    <s v="M0125"/>
    <d v="2026-01-05T00:00:00"/>
    <x v="8"/>
    <x v="4"/>
    <n v="140"/>
    <n v="3829.45"/>
    <n v="558"/>
    <n v="-0.14939"/>
    <n v="4.2860000000000002E-2"/>
    <n v="2.8570000000000002E-2"/>
    <n v="34.869999999999997"/>
    <n v="4.49"/>
    <n v="25.34"/>
    <n v="8.5709999999999995E-2"/>
    <n v="12.953376795580001"/>
    <n v="31"/>
    <s v="Slow prep time"/>
    <x v="0"/>
    <n v="1"/>
    <s v="48 hours"/>
    <s v="Fix reliability drivers first, then run targeted promo to regain volume"/>
    <s v="Sales outreach with a 2 week recovery plan and weekly monitoring"/>
    <s v="Measure pre vs post lift: orders, cancellations, refunds, rating"/>
    <m/>
    <m/>
    <m/>
    <n v="1"/>
    <m/>
  </r>
  <r>
    <s v="M0045"/>
    <d v="2026-01-05T00:00:00"/>
    <x v="2"/>
    <x v="2"/>
    <n v="144"/>
    <n v="2445.81"/>
    <n v="610"/>
    <n v="-0.16324"/>
    <n v="4.861E-2"/>
    <n v="2.7779999999999999E-2"/>
    <n v="28.32"/>
    <n v="4.3899999999999997"/>
    <n v="11.82"/>
    <n v="8.3330000000000001E-2"/>
    <n v="17.243443654819998"/>
    <n v="33"/>
    <s v="Declining orders"/>
    <x v="0"/>
    <n v="1"/>
    <s v="48 hours"/>
    <s v="Fix reliability drivers first, then run targeted promo to regain volume"/>
    <s v="Sales outreach with a 2 week recovery plan and weekly monitoring"/>
    <s v="Measure pre vs post lift: orders, cancellations, refunds, rating"/>
    <m/>
    <m/>
    <m/>
    <n v="1"/>
    <m/>
  </r>
  <r>
    <s v="M0098"/>
    <d v="2026-01-05T00:00:00"/>
    <x v="9"/>
    <x v="2"/>
    <n v="232"/>
    <n v="4457.88"/>
    <n v="951"/>
    <n v="-0.12912000000000001"/>
    <n v="5.1720000000000002E-2"/>
    <n v="3.0169999999999999E-2"/>
    <n v="28.9"/>
    <n v="4.43"/>
    <n v="13.15"/>
    <n v="6.0339999999999998E-2"/>
    <n v="20.457034220530002"/>
    <n v="33"/>
    <s v="High refunds"/>
    <x v="0"/>
    <n v="1"/>
    <s v="48 hours"/>
    <s v="Fix reliability drivers first, then run targeted promo to regain volume"/>
    <s v="Sales outreach with a 2 week recovery plan and weekly monitoring"/>
    <s v="Measure pre vs post lift: orders, cancellations, refunds, rating"/>
    <m/>
    <m/>
    <m/>
    <n v="1"/>
    <m/>
  </r>
  <r>
    <s v="M0158"/>
    <d v="2026-01-05T00:00:00"/>
    <x v="8"/>
    <x v="4"/>
    <n v="113"/>
    <n v="3522.8"/>
    <n v="439"/>
    <n v="-0.14757000000000001"/>
    <n v="5.3100000000000001E-2"/>
    <n v="2.6550000000000001E-2"/>
    <n v="35.31"/>
    <n v="4.6500000000000004"/>
    <n v="13.21"/>
    <n v="0.13274"/>
    <n v="35.399569644209997"/>
    <n v="33"/>
    <s v="Slow prep time"/>
    <x v="0"/>
    <n v="1"/>
    <s v="48 hours"/>
    <s v="Fix reliability drivers first, then run targeted promo to regain volume"/>
    <s v="Sales outreach with a 2 week recovery plan and weekly monitoring"/>
    <s v="Measure pre vs post lift: orders, cancellations, refunds, rating"/>
    <m/>
    <m/>
    <m/>
    <n v="1"/>
    <m/>
  </r>
  <r>
    <s v="M0092"/>
    <d v="2026-01-05T00:00:00"/>
    <x v="2"/>
    <x v="1"/>
    <n v="76"/>
    <n v="2723.11"/>
    <n v="315"/>
    <n v="-0.14865"/>
    <n v="6.5790000000000001E-2"/>
    <n v="2.632E-2"/>
    <n v="26.18"/>
    <n v="4.6399999999999997"/>
    <n v="13.85"/>
    <n v="0.11842"/>
    <n v="23.28328916968"/>
    <n v="33"/>
    <s v="High cancellations"/>
    <x v="0"/>
    <n v="1"/>
    <s v="48 hours"/>
    <s v="Fix reliability drivers first, then run targeted promo to regain volume"/>
    <s v="Sales outreach with a 2 week recovery plan and weekly monitoring"/>
    <s v="Measure pre vs post lift: orders, cancellations, refunds, rating"/>
    <m/>
    <m/>
    <m/>
    <n v="1"/>
    <m/>
  </r>
  <r>
    <s v="M0175"/>
    <d v="2026-01-05T00:00:00"/>
    <x v="0"/>
    <x v="0"/>
    <n v="159"/>
    <n v="6890.98"/>
    <n v="528"/>
    <n v="-0.04"/>
    <n v="7.5469999999999995E-2"/>
    <n v="3.1449999999999999E-2"/>
    <n v="50.86"/>
    <n v="4.3099999999999996"/>
    <n v="30.14"/>
    <n v="0.13208"/>
    <n v="30.196729827470001"/>
    <n v="33"/>
    <s v="High cancellations"/>
    <x v="0"/>
    <n v="1"/>
    <s v="48 hours"/>
    <s v="Fix reliability drivers first, then run targeted promo to regain volume"/>
    <s v="Sales outreach with a 2 week recovery plan and weekly monitoring"/>
    <s v="Measure pre vs post lift: orders, cancellations, refunds, rating"/>
    <m/>
    <m/>
    <m/>
    <n v="1"/>
    <m/>
  </r>
  <r>
    <s v="M0156"/>
    <d v="2026-01-05T00:00:00"/>
    <x v="5"/>
    <x v="5"/>
    <n v="222"/>
    <n v="2929.4"/>
    <n v="883"/>
    <n v="-0.11612"/>
    <n v="4.9549999999999997E-2"/>
    <n v="3.1530000000000002E-2"/>
    <n v="28.26"/>
    <n v="4.4000000000000004"/>
    <n v="46.14"/>
    <n v="0.14865"/>
    <n v="9.4376102080600006"/>
    <n v="33"/>
    <s v="High refunds"/>
    <x v="0"/>
    <n v="1"/>
    <s v="48 hours"/>
    <s v="Fix reliability drivers first, then run targeted promo to regain volume"/>
    <s v="Sales outreach with a 2 week recovery plan and weekly monitoring"/>
    <s v="Measure pre vs post lift: orders, cancellations, refunds, rating"/>
    <m/>
    <m/>
    <m/>
    <n v="1"/>
    <m/>
  </r>
  <r>
    <s v="M0008"/>
    <d v="2026-01-05T00:00:00"/>
    <x v="9"/>
    <x v="0"/>
    <n v="102"/>
    <n v="4125.95"/>
    <n v="405"/>
    <n v="-0.10793"/>
    <n v="6.8629999999999997E-2"/>
    <n v="1.9609999999999999E-2"/>
    <n v="47.62"/>
    <n v="4.49"/>
    <n v="14.22"/>
    <n v="0.18626999999999999"/>
    <n v="54.047771448660001"/>
    <n v="34"/>
    <s v="High cancellations"/>
    <x v="0"/>
    <n v="1"/>
    <s v="48 hours"/>
    <s v="Fix reliability drivers first, then run targeted promo to regain volume"/>
    <s v="Sales outreach with a 2 week recovery plan and weekly monitoring"/>
    <s v="Measure pre vs post lift: orders, cancellations, refunds, rating"/>
    <m/>
    <m/>
    <m/>
    <n v="1"/>
    <m/>
  </r>
  <r>
    <s v="M0026"/>
    <d v="2026-01-05T00:00:00"/>
    <x v="3"/>
    <x v="4"/>
    <n v="207"/>
    <n v="6548.9"/>
    <n v="764"/>
    <n v="-6.8290000000000003E-2"/>
    <n v="6.2799999999999995E-2"/>
    <n v="3.3820000000000003E-2"/>
    <n v="37.700000000000003"/>
    <n v="4.53"/>
    <n v="26.22"/>
    <n v="0.10628"/>
    <n v="26.54532250191"/>
    <n v="34"/>
    <s v="High cancellations"/>
    <x v="0"/>
    <n v="1"/>
    <s v="48 hours"/>
    <s v="Fix reliability drivers first, then run targeted promo to regain volume"/>
    <s v="Sales outreach with a 2 week recovery plan and weekly monitoring"/>
    <s v="Measure pre vs post lift: orders, cancellations, refunds, rating"/>
    <m/>
    <m/>
    <m/>
    <n v="1"/>
    <m/>
  </r>
  <r>
    <s v="M0160"/>
    <d v="2026-01-05T00:00:00"/>
    <x v="0"/>
    <x v="0"/>
    <n v="201"/>
    <n v="9215.9500000000007"/>
    <n v="691"/>
    <n v="-0.13517000000000001"/>
    <n v="5.9700000000000003E-2"/>
    <n v="1.9900000000000001E-2"/>
    <n v="45.45"/>
    <n v="4.76"/>
    <n v="61.06"/>
    <n v="0.17910000000000001"/>
    <n v="27.0327207337"/>
    <n v="34"/>
    <s v="High cancellations"/>
    <x v="0"/>
    <n v="1"/>
    <s v="48 hours"/>
    <s v="Fix reliability drivers first, then run targeted promo to regain volume"/>
    <s v="Sales outreach with a 2 week recovery plan and weekly monitoring"/>
    <s v="Measure pre vs post lift: orders, cancellations, refunds, rating"/>
    <m/>
    <m/>
    <m/>
    <n v="1"/>
    <m/>
  </r>
  <r>
    <s v="M0155"/>
    <d v="2026-01-05T00:00:00"/>
    <x v="4"/>
    <x v="5"/>
    <n v="152"/>
    <n v="2147.3000000000002"/>
    <n v="610"/>
    <n v="-0.24690999999999999"/>
    <n v="3.9469999999999998E-2"/>
    <n v="2.632E-2"/>
    <n v="27.61"/>
    <n v="4.47"/>
    <n v="19.46"/>
    <n v="9.2109999999999997E-2"/>
    <n v="10.16329064748"/>
    <n v="35"/>
    <s v="Low ROAS"/>
    <x v="0"/>
    <n v="1"/>
    <s v="48 hours"/>
    <s v="Fix reliability drivers first, then run targeted promo to regain volume"/>
    <s v="Sales outreach with a 2 week recovery plan and weekly monitoring"/>
    <s v="Measure pre vs post lift: orders, cancellations, refunds, rating"/>
    <m/>
    <m/>
    <m/>
    <n v="1"/>
    <m/>
  </r>
  <r>
    <s v="M0038"/>
    <d v="2026-01-05T00:00:00"/>
    <x v="8"/>
    <x v="1"/>
    <n v="136"/>
    <n v="4818.1000000000004"/>
    <n v="500"/>
    <n v="-0.11504"/>
    <n v="6.6180000000000003E-2"/>
    <n v="2.9409999999999999E-2"/>
    <n v="30.87"/>
    <n v="4.71"/>
    <n v="20.85"/>
    <n v="0.13971"/>
    <n v="32.283784844119999"/>
    <n v="35"/>
    <s v="High cancellations"/>
    <x v="0"/>
    <n v="1"/>
    <s v="48 hours"/>
    <s v="Fix reliability drivers first, then run targeted promo to regain volume"/>
    <s v="Sales outreach with a 2 week recovery plan and weekly monitoring"/>
    <s v="Measure pre vs post lift: orders, cancellations, refunds, rating"/>
    <m/>
    <m/>
    <m/>
    <n v="1"/>
    <m/>
  </r>
  <r>
    <s v="M0118"/>
    <d v="2026-01-05T00:00:00"/>
    <x v="8"/>
    <x v="1"/>
    <n v="149"/>
    <n v="5278.65"/>
    <n v="529"/>
    <n v="-0.13278999999999999"/>
    <n v="6.7110000000000003E-2"/>
    <n v="2.6849999999999999E-2"/>
    <n v="26.66"/>
    <n v="4.5999999999999996"/>
    <n v="21.76"/>
    <n v="0.10067"/>
    <n v="24.421310431990001"/>
    <n v="35"/>
    <s v="High cancellations"/>
    <x v="0"/>
    <n v="1"/>
    <s v="48 hours"/>
    <s v="Fix reliability drivers first, then run targeted promo to regain volume"/>
    <s v="Sales outreach with a 2 week recovery plan and weekly monitoring"/>
    <s v="Measure pre vs post lift: orders, cancellations, refunds, rating"/>
    <m/>
    <m/>
    <m/>
    <n v="1"/>
    <m/>
  </r>
  <r>
    <s v="M0137"/>
    <d v="2026-01-05T00:00:00"/>
    <x v="4"/>
    <x v="0"/>
    <n v="156"/>
    <n v="6840.99"/>
    <n v="594"/>
    <n v="-0.20905000000000001"/>
    <n v="5.7689999999999998E-2"/>
    <n v="1.9230000000000001E-2"/>
    <n v="42.29"/>
    <n v="4.83"/>
    <n v="11.7"/>
    <n v="0.17308000000000001"/>
    <n v="101.19807692308"/>
    <n v="36"/>
    <s v="High cancellations"/>
    <x v="0"/>
    <n v="1"/>
    <s v="48 hours"/>
    <s v="Fix reliability drivers first, then run targeted promo to regain volume"/>
    <s v="Sales outreach with a 2 week recovery plan and weekly monitoring"/>
    <s v="Measure pre vs post lift: orders, cancellations, refunds, rating"/>
    <m/>
    <m/>
    <m/>
    <n v="1"/>
    <m/>
  </r>
  <r>
    <s v="M0043"/>
    <d v="2026-01-05T00:00:00"/>
    <x v="6"/>
    <x v="0"/>
    <n v="176"/>
    <n v="7839.22"/>
    <n v="618"/>
    <n v="-0.10564"/>
    <n v="6.25E-2"/>
    <n v="2.273E-2"/>
    <n v="45.67"/>
    <n v="4.51"/>
    <n v="12.08"/>
    <n v="9.0910000000000005E-2"/>
    <n v="58.994732450329998"/>
    <n v="36"/>
    <s v="High cancellations"/>
    <x v="0"/>
    <n v="1"/>
    <s v="48 hours"/>
    <s v="Fix reliability drivers first, then run targeted promo to regain volume"/>
    <s v="Sales outreach with a 2 week recovery plan and weekly monitoring"/>
    <s v="Measure pre vs post lift: orders, cancellations, refunds, rating"/>
    <m/>
    <m/>
    <m/>
    <n v="1"/>
    <m/>
  </r>
  <r>
    <s v="M0089"/>
    <d v="2026-01-05T00:00:00"/>
    <x v="6"/>
    <x v="0"/>
    <n v="140"/>
    <n v="6995.52"/>
    <n v="626"/>
    <n v="-0.10057000000000001"/>
    <n v="5.7140000000000003E-2"/>
    <n v="2.8570000000000002E-2"/>
    <n v="46.73"/>
    <n v="4.75"/>
    <n v="30.94"/>
    <n v="0.12143"/>
    <n v="27.454945054949999"/>
    <n v="36"/>
    <s v="Slow prep time"/>
    <x v="0"/>
    <n v="1"/>
    <s v="48 hours"/>
    <s v="Fix reliability drivers first, then run targeted promo to regain volume"/>
    <s v="Sales outreach with a 2 week recovery plan and weekly monitoring"/>
    <s v="Measure pre vs post lift: orders, cancellations, refunds, rating"/>
    <m/>
    <m/>
    <m/>
    <n v="1"/>
    <m/>
  </r>
  <r>
    <s v="M0071"/>
    <d v="2026-01-05T00:00:00"/>
    <x v="1"/>
    <x v="2"/>
    <n v="89"/>
    <n v="1450.61"/>
    <n v="332"/>
    <n v="-8.9599999999999992E-3"/>
    <n v="6.7419999999999994E-2"/>
    <n v="3.3709999999999997E-2"/>
    <n v="28.55"/>
    <n v="4.17"/>
    <n v="33.659999999999997"/>
    <n v="0.20225000000000001"/>
    <n v="8.7160368984000005"/>
    <n v="36"/>
    <s v="High cancellations"/>
    <x v="0"/>
    <n v="1"/>
    <s v="48 hours"/>
    <s v="Fix reliability drivers first, then run targeted promo to regain volume"/>
    <s v="Sales outreach with a 2 week recovery plan and weekly monitoring"/>
    <s v="Measure pre vs post lift: orders, cancellations, refunds, rating"/>
    <m/>
    <m/>
    <m/>
    <n v="1"/>
    <m/>
  </r>
  <r>
    <s v="M0024"/>
    <d v="2026-01-05T00:00:00"/>
    <x v="2"/>
    <x v="4"/>
    <n v="258"/>
    <n v="8125.56"/>
    <n v="894"/>
    <n v="-9.239E-2"/>
    <n v="5.8139999999999997E-2"/>
    <n v="3.1009999999999999E-2"/>
    <n v="30.07"/>
    <n v="4.55"/>
    <n v="34.44"/>
    <n v="9.69E-2"/>
    <n v="22.861802409989998"/>
    <n v="36"/>
    <s v="High cancellations"/>
    <x v="0"/>
    <n v="1"/>
    <s v="48 hours"/>
    <s v="Fix reliability drivers first, then run targeted promo to regain volume"/>
    <s v="Sales outreach with a 2 week recovery plan and weekly monitoring"/>
    <s v="Measure pre vs post lift: orders, cancellations, refunds, rating"/>
    <m/>
    <m/>
    <m/>
    <n v="1"/>
    <m/>
  </r>
  <r>
    <s v="M0132"/>
    <d v="2026-01-05T00:00:00"/>
    <x v="1"/>
    <x v="2"/>
    <n v="229"/>
    <n v="3736.18"/>
    <n v="775"/>
    <n v="-9.6740000000000007E-2"/>
    <n v="4.8030000000000003E-2"/>
    <n v="3.057E-2"/>
    <n v="32.03"/>
    <n v="4.4800000000000004"/>
    <n v="34.92"/>
    <n v="0.1179"/>
    <n v="12.61484304124"/>
    <n v="36"/>
    <s v="High refunds"/>
    <x v="0"/>
    <n v="1"/>
    <s v="48 hours"/>
    <s v="Fix reliability drivers first, then run targeted promo to regain volume"/>
    <s v="Sales outreach with a 2 week recovery plan and weekly monitoring"/>
    <s v="Measure pre vs post lift: orders, cancellations, refunds, rating"/>
    <m/>
    <m/>
    <m/>
    <n v="1"/>
    <m/>
  </r>
  <r>
    <s v="M0062"/>
    <d v="2026-01-05T00:00:00"/>
    <x v="7"/>
    <x v="5"/>
    <n v="191"/>
    <n v="2580.5100000000002"/>
    <n v="760"/>
    <n v="-0.11935"/>
    <n v="4.7120000000000002E-2"/>
    <n v="3.141E-2"/>
    <n v="25.82"/>
    <n v="4.34"/>
    <n v="38.21"/>
    <n v="0.12042"/>
    <n v="8.1324797696900006"/>
    <n v="36"/>
    <s v="High refunds"/>
    <x v="0"/>
    <n v="1"/>
    <s v="48 hours"/>
    <s v="Fix reliability drivers first, then run targeted promo to regain volume"/>
    <s v="Sales outreach with a 2 week recovery plan and weekly monitoring"/>
    <s v="Measure pre vs post lift: orders, cancellations, refunds, rating"/>
    <m/>
    <m/>
    <m/>
    <n v="1"/>
    <m/>
  </r>
  <r>
    <s v="M0141"/>
    <d v="2026-01-05T00:00:00"/>
    <x v="4"/>
    <x v="3"/>
    <n v="201"/>
    <n v="3896.67"/>
    <n v="750"/>
    <n v="-5.8970000000000002E-2"/>
    <n v="4.9750000000000003E-2"/>
    <n v="3.483E-2"/>
    <n v="29.67"/>
    <n v="4.18"/>
    <n v="39.39"/>
    <n v="8.4580000000000002E-2"/>
    <n v="8.3668216806300002"/>
    <n v="36"/>
    <s v="High refunds"/>
    <x v="0"/>
    <n v="1"/>
    <s v="48 hours"/>
    <s v="Fix reliability drivers first, then run targeted promo to regain volume"/>
    <s v="Sales outreach with a 2 week recovery plan and weekly monitoring"/>
    <s v="Measure pre vs post lift: orders, cancellations, refunds, rating"/>
    <m/>
    <m/>
    <m/>
    <n v="1"/>
    <m/>
  </r>
  <r>
    <s v="M0179"/>
    <d v="2026-01-05T00:00:00"/>
    <x v="3"/>
    <x v="2"/>
    <n v="152"/>
    <n v="2474.16"/>
    <n v="696"/>
    <n v="-4.3959999999999999E-2"/>
    <n v="6.5790000000000001E-2"/>
    <n v="3.2890000000000003E-2"/>
    <n v="28.18"/>
    <n v="4.2"/>
    <n v="41.92"/>
    <n v="0.23025999999999999"/>
    <n v="13.59035973282"/>
    <n v="36"/>
    <s v="High cancellations"/>
    <x v="0"/>
    <n v="1"/>
    <s v="48 hours"/>
    <s v="Fix reliability drivers first, then run targeted promo to regain volume"/>
    <s v="Sales outreach with a 2 week recovery plan and weekly monitoring"/>
    <s v="Measure pre vs post lift: orders, cancellations, refunds, rating"/>
    <m/>
    <m/>
    <m/>
    <n v="1"/>
    <m/>
  </r>
  <r>
    <s v="M0047"/>
    <d v="2026-01-05T00:00:00"/>
    <x v="3"/>
    <x v="2"/>
    <n v="196"/>
    <n v="3601.03"/>
    <n v="668"/>
    <n v="-0.10335999999999999"/>
    <n v="4.5920000000000002E-2"/>
    <n v="3.0609999999999998E-2"/>
    <n v="33.03"/>
    <n v="4.55"/>
    <n v="46.12"/>
    <n v="9.6939999999999998E-2"/>
    <n v="7.5689383781400004"/>
    <n v="36"/>
    <s v="High refunds"/>
    <x v="0"/>
    <n v="1"/>
    <s v="48 hours"/>
    <s v="Fix reliability drivers first, then run targeted promo to regain volume"/>
    <s v="Sales outreach with a 2 week recovery plan and weekly monitoring"/>
    <s v="Measure pre vs post lift: orders, cancellations, refunds, rating"/>
    <m/>
    <m/>
    <m/>
    <n v="1"/>
    <m/>
  </r>
  <r>
    <s v="M0116"/>
    <d v="2026-01-05T00:00:00"/>
    <x v="6"/>
    <x v="0"/>
    <n v="156"/>
    <n v="6346.08"/>
    <n v="566"/>
    <n v="-0.13982"/>
    <n v="4.487E-2"/>
    <n v="2.564E-2"/>
    <n v="38.950000000000003"/>
    <n v="4.6399999999999997"/>
    <n v="56.61"/>
    <n v="0.12820999999999999"/>
    <n v="14.372019077899999"/>
    <n v="36"/>
    <s v="Slow prep time"/>
    <x v="0"/>
    <n v="1"/>
    <s v="48 hours"/>
    <s v="Fix reliability drivers first, then run targeted promo to regain volume"/>
    <s v="Sales outreach with a 2 week recovery plan and weekly monitoring"/>
    <s v="Measure pre vs post lift: orders, cancellations, refunds, rating"/>
    <m/>
    <m/>
    <m/>
    <n v="1"/>
    <m/>
  </r>
  <r>
    <s v="M0021"/>
    <d v="2026-01-05T00:00:00"/>
    <x v="7"/>
    <x v="0"/>
    <n v="308"/>
    <n v="14005.53"/>
    <n v="1168"/>
    <n v="2.009E-2"/>
    <n v="7.1429999999999993E-2"/>
    <n v="3.5709999999999999E-2"/>
    <n v="49.99"/>
    <n v="4.4800000000000004"/>
    <n v="102.61"/>
    <n v="0.14935000000000001"/>
    <n v="20.385293831009999"/>
    <n v="36"/>
    <s v="High cancellations"/>
    <x v="0"/>
    <n v="1"/>
    <s v="48 hours"/>
    <s v="Fix reliability drivers first, then run targeted promo to regain volume"/>
    <s v="Sales outreach with a 2 week recovery plan and weekly monitoring"/>
    <s v="Measure pre vs post lift: orders, cancellations, refunds, rating"/>
    <m/>
    <m/>
    <m/>
    <n v="1"/>
    <m/>
  </r>
  <r>
    <s v="M0054"/>
    <d v="2026-01-05T00:00:00"/>
    <x v="4"/>
    <x v="0"/>
    <n v="183"/>
    <n v="8543.81"/>
    <n v="701"/>
    <n v="-4.6260000000000003E-2"/>
    <n v="7.1040000000000006E-2"/>
    <n v="2.7320000000000001E-2"/>
    <n v="47.53"/>
    <n v="4.51"/>
    <n v="19.78"/>
    <n v="0.10383000000000001"/>
    <n v="44.846422345800001"/>
    <n v="37"/>
    <s v="High cancellations"/>
    <x v="0"/>
    <n v="1"/>
    <s v="48 hours"/>
    <s v="Fix reliability drivers first, then run targeted promo to regain volume"/>
    <s v="Sales outreach with a 2 week recovery plan and weekly monitoring"/>
    <s v="Measure pre vs post lift: orders, cancellations, refunds, rating"/>
    <m/>
    <m/>
    <m/>
    <n v="1"/>
    <m/>
  </r>
  <r>
    <s v="M0164"/>
    <d v="2026-01-05T00:00:00"/>
    <x v="9"/>
    <x v="4"/>
    <n v="187"/>
    <n v="4576.26"/>
    <n v="782"/>
    <n v="-0.19794999999999999"/>
    <n v="3.7429999999999998E-2"/>
    <n v="2.1389999999999999E-2"/>
    <n v="33.01"/>
    <n v="4.45"/>
    <n v="26.36"/>
    <n v="9.0910000000000005E-2"/>
    <n v="15.78238402883"/>
    <n v="37"/>
    <s v="Declining orders"/>
    <x v="0"/>
    <n v="1"/>
    <s v="48 hours"/>
    <s v="Fix reliability drivers first, then run targeted promo to regain volume"/>
    <s v="Sales outreach with a 2 week recovery plan and weekly monitoring"/>
    <s v="Measure pre vs post lift: orders, cancellations, refunds, rating"/>
    <m/>
    <m/>
    <m/>
    <n v="1"/>
    <m/>
  </r>
  <r>
    <s v="M0074"/>
    <d v="2026-01-05T00:00:00"/>
    <x v="7"/>
    <x v="5"/>
    <n v="182"/>
    <n v="2354.9"/>
    <n v="769"/>
    <n v="-0.10373"/>
    <n v="4.3959999999999999E-2"/>
    <n v="3.2969999999999999E-2"/>
    <n v="28.51"/>
    <n v="4.29"/>
    <n v="45.3"/>
    <n v="0.13186999999999999"/>
    <n v="6.8551051655600004"/>
    <n v="37"/>
    <s v="High refunds"/>
    <x v="0"/>
    <n v="1"/>
    <s v="48 hours"/>
    <s v="Fix reliability drivers first, then run targeted promo to regain volume"/>
    <s v="Sales outreach with a 2 week recovery plan and weekly monitoring"/>
    <s v="Measure pre vs post lift: orders, cancellations, refunds, rating"/>
    <m/>
    <m/>
    <m/>
    <n v="1"/>
    <m/>
  </r>
  <r>
    <s v="M0004"/>
    <d v="2026-01-05T00:00:00"/>
    <x v="0"/>
    <x v="2"/>
    <n v="277"/>
    <n v="4356.2700000000004"/>
    <n v="1004"/>
    <n v="1E-3"/>
    <n v="5.4149999999999997E-2"/>
    <n v="3.61E-2"/>
    <n v="31.64"/>
    <n v="4.1100000000000003"/>
    <n v="114.16"/>
    <n v="0.10829999999999999"/>
    <n v="4.1327801331499998"/>
    <n v="37"/>
    <s v="High refunds"/>
    <x v="0"/>
    <n v="1"/>
    <s v="48 hours"/>
    <s v="Fix reliability drivers first, then run targeted promo to regain volume"/>
    <s v="Sales outreach with a 2 week recovery plan and weekly monitoring"/>
    <s v="Measure pre vs post lift: orders, cancellations, refunds, rating"/>
    <m/>
    <m/>
    <m/>
    <n v="1"/>
    <m/>
  </r>
  <r>
    <s v="M0033"/>
    <d v="2026-01-05T00:00:00"/>
    <x v="9"/>
    <x v="2"/>
    <n v="201"/>
    <n v="3959.9"/>
    <n v="840"/>
    <n v="-0.13491"/>
    <n v="4.9750000000000003E-2"/>
    <n v="2.9850000000000002E-2"/>
    <n v="27.89"/>
    <n v="4.67"/>
    <n v="25.5"/>
    <n v="0.11443"/>
    <n v="17.769524901960001"/>
    <n v="38"/>
    <s v="High refunds"/>
    <x v="0"/>
    <n v="1"/>
    <s v="48 hours"/>
    <s v="Fix reliability drivers first, then run targeted promo to regain volume"/>
    <s v="Sales outreach with a 2 week recovery plan and weekly monitoring"/>
    <s v="Measure pre vs post lift: orders, cancellations, refunds, rating"/>
    <m/>
    <m/>
    <m/>
    <n v="1"/>
    <m/>
  </r>
  <r>
    <s v="M0084"/>
    <d v="2026-01-05T00:00:00"/>
    <x v="2"/>
    <x v="4"/>
    <n v="131"/>
    <n v="3936.5"/>
    <n v="518"/>
    <n v="-2.264E-2"/>
    <n v="6.1069999999999999E-2"/>
    <n v="3.0530000000000002E-2"/>
    <n v="38.380000000000003"/>
    <n v="4.4800000000000004"/>
    <n v="30.59"/>
    <n v="0.12214"/>
    <n v="15.717354952599999"/>
    <n v="38"/>
    <s v="High cancellations"/>
    <x v="0"/>
    <n v="1"/>
    <s v="48 hours"/>
    <s v="Fix reliability drivers first, then run targeted promo to regain volume"/>
    <s v="Sales outreach with a 2 week recovery plan and weekly monitoring"/>
    <s v="Measure pre vs post lift: orders, cancellations, refunds, rating"/>
    <m/>
    <m/>
    <m/>
    <n v="1"/>
    <m/>
  </r>
  <r>
    <s v="M0167"/>
    <d v="2026-01-05T00:00:00"/>
    <x v="2"/>
    <x v="2"/>
    <n v="208"/>
    <n v="3542.95"/>
    <n v="808"/>
    <n v="1.635E-2"/>
    <n v="5.7689999999999998E-2"/>
    <n v="3.3649999999999999E-2"/>
    <n v="32.71"/>
    <n v="4.24"/>
    <n v="56.43"/>
    <n v="0.11538"/>
    <n v="7.24440744285"/>
    <n v="38"/>
    <s v="High cancellations"/>
    <x v="0"/>
    <n v="1"/>
    <s v="48 hours"/>
    <s v="Fix reliability drivers first, then run targeted promo to regain volume"/>
    <s v="Sales outreach with a 2 week recovery plan and weekly monitoring"/>
    <s v="Measure pre vs post lift: orders, cancellations, refunds, rating"/>
    <m/>
    <m/>
    <m/>
    <n v="1"/>
    <m/>
  </r>
  <r>
    <s v="M0015"/>
    <d v="2026-01-05T00:00:00"/>
    <x v="4"/>
    <x v="0"/>
    <n v="276"/>
    <n v="11115.9"/>
    <n v="1040"/>
    <n v="-5.4550000000000001E-2"/>
    <n v="5.4350000000000002E-2"/>
    <n v="2.5360000000000001E-2"/>
    <n v="45.64"/>
    <n v="4.42"/>
    <n v="58.33"/>
    <n v="7.9710000000000003E-2"/>
    <n v="15.190296588380001"/>
    <n v="38"/>
    <s v="Slow prep time"/>
    <x v="0"/>
    <n v="1"/>
    <s v="48 hours"/>
    <s v="Fix reliability drivers first, then run targeted promo to regain volume"/>
    <s v="Sales outreach with a 2 week recovery plan and weekly monitoring"/>
    <s v="Measure pre vs post lift: orders, cancellations, refunds, rating"/>
    <m/>
    <m/>
    <m/>
    <n v="1"/>
    <m/>
  </r>
  <r>
    <s v="M0090"/>
    <d v="2026-01-05T00:00:00"/>
    <x v="2"/>
    <x v="4"/>
    <n v="182"/>
    <n v="5582.16"/>
    <n v="602"/>
    <n v="-5.0470000000000001E-2"/>
    <n v="5.4949999999999999E-2"/>
    <n v="3.2969999999999999E-2"/>
    <n v="31.92"/>
    <n v="4.55"/>
    <n v="60.83"/>
    <n v="0.13736000000000001"/>
    <n v="12.60529713957"/>
    <n v="38"/>
    <s v="High refunds"/>
    <x v="0"/>
    <n v="1"/>
    <s v="48 hours"/>
    <s v="Fix reliability drivers first, then run targeted promo to regain volume"/>
    <s v="Sales outreach with a 2 week recovery plan and weekly monitoring"/>
    <s v="Measure pre vs post lift: orders, cancellations, refunds, rating"/>
    <m/>
    <m/>
    <m/>
    <n v="1"/>
    <m/>
  </r>
  <r>
    <s v="M0120"/>
    <d v="2026-01-05T00:00:00"/>
    <x v="4"/>
    <x v="3"/>
    <n v="218"/>
    <n v="4116.8900000000003"/>
    <n v="831"/>
    <n v="-8.5809999999999997E-2"/>
    <n v="5.9630000000000002E-2"/>
    <n v="2.7519999999999999E-2"/>
    <n v="28.89"/>
    <n v="4.18"/>
    <n v="10.66"/>
    <n v="0.1055"/>
    <n v="40.745852814259997"/>
    <n v="39"/>
    <s v="High cancellations"/>
    <x v="0"/>
    <n v="1"/>
    <s v="48 hours"/>
    <s v="Fix reliability drivers first, then run targeted promo to regain volume"/>
    <s v="Sales outreach with a 2 week recovery plan and weekly monitoring"/>
    <s v="Measure pre vs post lift: orders, cancellations, refunds, rating"/>
    <m/>
    <m/>
    <m/>
    <n v="1"/>
    <m/>
  </r>
  <r>
    <s v="M0093"/>
    <d v="2026-01-05T00:00:00"/>
    <x v="3"/>
    <x v="1"/>
    <n v="160"/>
    <n v="5573.12"/>
    <n v="664"/>
    <n v="-0.14323"/>
    <n v="6.8750000000000006E-2"/>
    <n v="2.5000000000000001E-2"/>
    <n v="25.76"/>
    <n v="4.6500000000000004"/>
    <n v="11.1"/>
    <n v="0.13125000000000001"/>
    <n v="65.898378378380002"/>
    <n v="39"/>
    <s v="High cancellations"/>
    <x v="0"/>
    <n v="1"/>
    <s v="48 hours"/>
    <s v="Fix reliability drivers first, then run targeted promo to regain volume"/>
    <s v="Sales outreach with a 2 week recovery plan and weekly monitoring"/>
    <s v="Measure pre vs post lift: orders, cancellations, refunds, rating"/>
    <m/>
    <m/>
    <m/>
    <n v="1"/>
    <m/>
  </r>
  <r>
    <s v="M0046"/>
    <d v="2026-01-05T00:00:00"/>
    <x v="1"/>
    <x v="1"/>
    <n v="184"/>
    <n v="6674.05"/>
    <n v="653"/>
    <n v="-0.11518"/>
    <n v="7.0650000000000004E-2"/>
    <n v="2.717E-2"/>
    <n v="28.82"/>
    <n v="4.72"/>
    <n v="15.15"/>
    <n v="0.13042999999999999"/>
    <n v="57.460611485149997"/>
    <n v="39"/>
    <s v="High cancellations"/>
    <x v="0"/>
    <n v="1"/>
    <s v="48 hours"/>
    <s v="Fix reliability drivers first, then run targeted promo to regain volume"/>
    <s v="Sales outreach with a 2 week recovery plan and weekly monitoring"/>
    <s v="Measure pre vs post lift: orders, cancellations, refunds, rating"/>
    <m/>
    <m/>
    <m/>
    <n v="1"/>
    <m/>
  </r>
  <r>
    <s v="M0163"/>
    <d v="2026-01-05T00:00:00"/>
    <x v="5"/>
    <x v="3"/>
    <n v="256"/>
    <n v="4966.3"/>
    <n v="987"/>
    <n v="-6.3570000000000002E-2"/>
    <n v="5.8590000000000003E-2"/>
    <n v="3.5159999999999997E-2"/>
    <n v="26.5"/>
    <n v="4.2"/>
    <n v="22.16"/>
    <n v="9.7659999999999997E-2"/>
    <n v="21.88584047834"/>
    <n v="39"/>
    <s v="High cancellations"/>
    <x v="0"/>
    <n v="1"/>
    <s v="48 hours"/>
    <s v="Fix reliability drivers first, then run targeted promo to regain volume"/>
    <s v="Sales outreach with a 2 week recovery plan and weekly monitoring"/>
    <s v="Measure pre vs post lift: orders, cancellations, refunds, rating"/>
    <m/>
    <m/>
    <m/>
    <n v="1"/>
    <m/>
  </r>
  <r>
    <s v="M0130"/>
    <d v="2026-01-05T00:00:00"/>
    <x v="2"/>
    <x v="2"/>
    <n v="171"/>
    <n v="3455.67"/>
    <n v="764"/>
    <n v="-4.9750000000000003E-2"/>
    <n v="7.0180000000000006E-2"/>
    <n v="3.5090000000000003E-2"/>
    <n v="28.53"/>
    <n v="4.54"/>
    <n v="28.98"/>
    <n v="0.20468"/>
    <n v="24.406516908210001"/>
    <n v="39"/>
    <s v="High cancellations"/>
    <x v="0"/>
    <n v="1"/>
    <s v="48 hours"/>
    <s v="Fix reliability drivers first, then run targeted promo to regain volume"/>
    <s v="Sales outreach with a 2 week recovery plan and weekly monitoring"/>
    <s v="Measure pre vs post lift: orders, cancellations, refunds, rating"/>
    <m/>
    <m/>
    <m/>
    <n v="1"/>
    <m/>
  </r>
  <r>
    <s v="M0041"/>
    <d v="2026-01-05T00:00:00"/>
    <x v="7"/>
    <x v="0"/>
    <n v="95"/>
    <n v="4314.76"/>
    <n v="319"/>
    <n v="-0.14016000000000001"/>
    <n v="5.2630000000000003E-2"/>
    <n v="2.1049999999999999E-2"/>
    <n v="43.93"/>
    <n v="4.82"/>
    <n v="14.96"/>
    <n v="0.15789"/>
    <n v="45.53996590909"/>
    <n v="40"/>
    <s v="Slow prep time"/>
    <x v="1"/>
    <n v="2"/>
    <s v="72 hours"/>
    <s v="Reduce prep time and cancellations via menu availability and staffing playbook"/>
    <s v="Operational audit: hours, menu cleanup, fulfillment consistency"/>
    <s v="Track prep time change and cancel reduction week over week"/>
    <m/>
    <m/>
    <m/>
    <n v="2"/>
    <m/>
  </r>
  <r>
    <s v="M0144"/>
    <d v="2026-01-05T00:00:00"/>
    <x v="8"/>
    <x v="4"/>
    <n v="224"/>
    <n v="5938.96"/>
    <n v="795"/>
    <n v="3.7859999999999998E-2"/>
    <n v="6.25E-2"/>
    <n v="3.125E-2"/>
    <n v="37.229999999999997"/>
    <n v="4.28"/>
    <n v="97.73"/>
    <n v="0.17857000000000001"/>
    <n v="10.851617313009999"/>
    <n v="40"/>
    <s v="High cancellations"/>
    <x v="1"/>
    <n v="2"/>
    <s v="72 hours"/>
    <s v="Reduce prep time and cancellations via menu availability and staffing playbook"/>
    <s v="Operational audit: hours, menu cleanup, fulfillment consistency"/>
    <s v="Track prep time change and cancel reduction week over week"/>
    <m/>
    <m/>
    <m/>
    <n v="2"/>
    <m/>
  </r>
  <r>
    <s v="M0063"/>
    <d v="2026-01-05T00:00:00"/>
    <x v="5"/>
    <x v="3"/>
    <n v="280"/>
    <n v="6686.68"/>
    <n v="1021"/>
    <n v="7.9000000000000008E-3"/>
    <n v="6.7860000000000004E-2"/>
    <n v="3.9289999999999999E-2"/>
    <n v="27.54"/>
    <n v="4.46"/>
    <n v="119.82"/>
    <n v="0.19286"/>
    <n v="10.76259389084"/>
    <n v="40"/>
    <s v="High cancellations"/>
    <x v="1"/>
    <n v="2"/>
    <s v="72 hours"/>
    <s v="Reduce prep time and cancellations via menu availability and staffing playbook"/>
    <s v="Operational audit: hours, menu cleanup, fulfillment consistency"/>
    <s v="Track prep time change and cancel reduction week over week"/>
    <m/>
    <m/>
    <m/>
    <n v="2"/>
    <m/>
  </r>
  <r>
    <s v="M0080"/>
    <d v="2026-01-05T00:00:00"/>
    <x v="0"/>
    <x v="5"/>
    <n v="130"/>
    <n v="1977.5"/>
    <n v="471"/>
    <n v="-0.14519000000000001"/>
    <n v="4.6149999999999997E-2"/>
    <n v="2.308E-2"/>
    <n v="26.56"/>
    <n v="4.5599999999999996"/>
    <n v="33.14"/>
    <n v="0.13846"/>
    <n v="8.2621509957800008"/>
    <n v="40"/>
    <s v="Low ROAS"/>
    <x v="2"/>
    <n v="3"/>
    <s v="1 week"/>
    <s v="Cap spend, tighten targeting, reset campaigns with ROAS guardrails"/>
    <s v="Shift budget to top items and retarget high intent customers"/>
    <s v="Track ROAS lift and adoption efficiency weekly"/>
    <m/>
    <m/>
    <m/>
    <n v="3"/>
    <m/>
  </r>
  <r>
    <s v="M0187"/>
    <d v="2026-01-05T00:00:00"/>
    <x v="1"/>
    <x v="4"/>
    <n v="117"/>
    <n v="2975.26"/>
    <n v="506"/>
    <n v="-7.3260000000000006E-2"/>
    <n v="5.1279999999999999E-2"/>
    <n v="2.564E-2"/>
    <n v="35.840000000000003"/>
    <n v="4.38"/>
    <n v="29.83"/>
    <n v="0.19658"/>
    <n v="19.607112939989999"/>
    <n v="41"/>
    <s v="Slow prep time"/>
    <x v="1"/>
    <n v="2"/>
    <s v="72 hours"/>
    <s v="Reduce prep time and cancellations via menu availability and staffing playbook"/>
    <s v="Operational audit: hours, menu cleanup, fulfillment consistency"/>
    <s v="Track prep time change and cancel reduction week over week"/>
    <m/>
    <m/>
    <m/>
    <n v="2"/>
    <m/>
  </r>
  <r>
    <s v="M0049"/>
    <d v="2026-01-05T00:00:00"/>
    <x v="7"/>
    <x v="3"/>
    <n v="259"/>
    <n v="6245.01"/>
    <n v="1091"/>
    <n v="-4.2139999999999997E-2"/>
    <n v="5.7919999999999999E-2"/>
    <n v="3.4750000000000003E-2"/>
    <n v="33.21"/>
    <n v="4.5999999999999996"/>
    <n v="30.83"/>
    <n v="0.12741"/>
    <n v="25.80915549789"/>
    <n v="41"/>
    <s v="High cancellations"/>
    <x v="1"/>
    <n v="2"/>
    <s v="72 hours"/>
    <s v="Reduce prep time and cancellations via menu availability and staffing playbook"/>
    <s v="Operational audit: hours, menu cleanup, fulfillment consistency"/>
    <s v="Track prep time change and cancel reduction week over week"/>
    <m/>
    <m/>
    <m/>
    <n v="2"/>
    <m/>
  </r>
  <r>
    <s v="M0128"/>
    <d v="2026-01-05T00:00:00"/>
    <x v="4"/>
    <x v="0"/>
    <n v="198"/>
    <n v="8714.8700000000008"/>
    <n v="732"/>
    <n v="-0.12648999999999999"/>
    <n v="5.5559999999999998E-2"/>
    <n v="2.0199999999999999E-2"/>
    <n v="40.42"/>
    <n v="4.8"/>
    <n v="30.56"/>
    <n v="0.16162000000000001"/>
    <n v="46.08847643979"/>
    <n v="42"/>
    <s v="Slow prep time"/>
    <x v="0"/>
    <n v="1"/>
    <s v="48 hours"/>
    <s v="Fix reliability drivers first, then run targeted promo to regain volume"/>
    <s v="Sales outreach with a 2 week recovery plan and weekly monitoring"/>
    <s v="Measure pre vs post lift: orders, cancellations, refunds, rating"/>
    <m/>
    <m/>
    <m/>
    <n v="1"/>
    <m/>
  </r>
  <r>
    <s v="M0119"/>
    <d v="2026-01-05T00:00:00"/>
    <x v="3"/>
    <x v="1"/>
    <n v="135"/>
    <n v="4088.02"/>
    <n v="615"/>
    <n v="-4.9459999999999997E-2"/>
    <n v="7.4069999999999997E-2"/>
    <n v="2.222E-2"/>
    <n v="33.47"/>
    <n v="4.32"/>
    <n v="18.28"/>
    <n v="0.17777999999999999"/>
    <n v="39.757063457329998"/>
    <n v="42"/>
    <s v="High cancellations"/>
    <x v="1"/>
    <n v="2"/>
    <s v="72 hours"/>
    <s v="Reduce prep time and cancellations via menu availability and staffing playbook"/>
    <s v="Operational audit: hours, menu cleanup, fulfillment consistency"/>
    <s v="Track prep time change and cancel reduction week over week"/>
    <m/>
    <m/>
    <m/>
    <n v="2"/>
    <m/>
  </r>
  <r>
    <s v="M0051"/>
    <d v="2026-01-05T00:00:00"/>
    <x v="8"/>
    <x v="2"/>
    <n v="213"/>
    <n v="3288.81"/>
    <n v="793"/>
    <n v="-8.2180000000000003E-2"/>
    <n v="5.1639999999999998E-2"/>
    <n v="2.8170000000000001E-2"/>
    <n v="25.85"/>
    <n v="4.3899999999999997"/>
    <n v="43.8"/>
    <n v="0.15023"/>
    <n v="11.280674337900001"/>
    <n v="42"/>
    <s v="Low ROAS"/>
    <x v="2"/>
    <n v="3"/>
    <s v="1 week"/>
    <s v="Cap spend, tighten targeting, reset campaigns with ROAS guardrails"/>
    <s v="Shift budget to top items and retarget high intent customers"/>
    <s v="Track ROAS lift and adoption efficiency weekly"/>
    <m/>
    <m/>
    <m/>
    <n v="3"/>
    <m/>
  </r>
  <r>
    <s v="M0131"/>
    <d v="2026-01-05T00:00:00"/>
    <x v="1"/>
    <x v="2"/>
    <n v="271"/>
    <n v="4938"/>
    <n v="1009"/>
    <n v="-4.5409999999999999E-2"/>
    <n v="5.5350000000000003E-2"/>
    <n v="2.9520000000000001E-2"/>
    <n v="28.72"/>
    <n v="4.54"/>
    <n v="101.52"/>
    <n v="0.18819"/>
    <n v="9.1537776004700007"/>
    <n v="42"/>
    <s v="High refunds"/>
    <x v="2"/>
    <n v="3"/>
    <s v="1 week"/>
    <s v="Cap spend, tighten targeting, reset campaigns with ROAS guardrails"/>
    <s v="Shift budget to top items and retarget high intent customers"/>
    <s v="Track ROAS lift and adoption efficiency weekly"/>
    <m/>
    <m/>
    <m/>
    <n v="3"/>
    <m/>
  </r>
  <r>
    <s v="M0014"/>
    <d v="2026-01-05T00:00:00"/>
    <x v="0"/>
    <x v="3"/>
    <n v="143"/>
    <n v="2830.77"/>
    <n v="600"/>
    <n v="-0.14163000000000001"/>
    <n v="4.895E-2"/>
    <n v="2.7969999999999998E-2"/>
    <n v="25.32"/>
    <n v="4.5199999999999996"/>
    <n v="18.010000000000002"/>
    <n v="0.16783000000000001"/>
    <n v="26.379470072179998"/>
    <n v="42"/>
    <s v="Declining orders"/>
    <x v="3"/>
    <n v="5"/>
    <s v="2 weeks"/>
    <s v="Maintain baseline reporting and test small promos or ads"/>
    <s v="Run a cohort test and compare lift vs control"/>
    <s v="Monitor KPIs and investigate outliers"/>
    <m/>
    <m/>
    <m/>
    <n v="5"/>
    <m/>
  </r>
  <r>
    <s v="M0162"/>
    <d v="2026-01-05T00:00:00"/>
    <x v="5"/>
    <x v="3"/>
    <n v="102"/>
    <n v="2091.86"/>
    <n v="430"/>
    <n v="-0.18406"/>
    <n v="4.9020000000000001E-2"/>
    <n v="1.9609999999999999E-2"/>
    <n v="27.47"/>
    <n v="4.5599999999999996"/>
    <n v="20.14"/>
    <n v="0.20588000000000001"/>
    <n v="21.384163406159999"/>
    <n v="42"/>
    <s v="Declining orders"/>
    <x v="3"/>
    <n v="5"/>
    <s v="2 weeks"/>
    <s v="Maintain baseline reporting and test small promos or ads"/>
    <s v="Run a cohort test and compare lift vs control"/>
    <s v="Monitor KPIs and investigate outliers"/>
    <m/>
    <m/>
    <m/>
    <n v="5"/>
    <m/>
  </r>
  <r>
    <s v="M0091"/>
    <d v="2026-01-05T00:00:00"/>
    <x v="2"/>
    <x v="1"/>
    <n v="125"/>
    <n v="4016.8"/>
    <n v="479"/>
    <n v="-9.7930000000000003E-2"/>
    <n v="5.6000000000000001E-2"/>
    <n v="2.4E-2"/>
    <n v="31.51"/>
    <n v="4.6900000000000004"/>
    <n v="32.979999999999997"/>
    <n v="0.17599999999999999"/>
    <n v="21.435924802910002"/>
    <n v="42"/>
    <s v="Stable"/>
    <x v="3"/>
    <n v="5"/>
    <s v="2 weeks"/>
    <s v="Maintain baseline reporting and test small promos or ads"/>
    <s v="Run a cohort test and compare lift vs control"/>
    <s v="Monitor KPIs and investigate outliers"/>
    <m/>
    <m/>
    <m/>
    <n v="5"/>
    <m/>
  </r>
  <r>
    <s v="M0186"/>
    <d v="2026-01-05T00:00:00"/>
    <x v="9"/>
    <x v="4"/>
    <n v="245"/>
    <n v="5900.97"/>
    <n v="978"/>
    <n v="-3.6450000000000003E-2"/>
    <n v="5.3060000000000003E-2"/>
    <n v="2.8570000000000002E-2"/>
    <n v="31.1"/>
    <n v="4.25"/>
    <n v="63.72"/>
    <n v="0.15101999999999999"/>
    <n v="13.985670182050001"/>
    <n v="42"/>
    <s v="Stable"/>
    <x v="3"/>
    <n v="5"/>
    <s v="2 weeks"/>
    <s v="Maintain baseline reporting and test small promos or ads"/>
    <s v="Run a cohort test and compare lift vs control"/>
    <s v="Monitor KPIs and investigate outliers"/>
    <m/>
    <m/>
    <m/>
    <n v="5"/>
    <m/>
  </r>
  <r>
    <s v="M0107"/>
    <d v="2026-01-05T00:00:00"/>
    <x v="9"/>
    <x v="1"/>
    <n v="125"/>
    <n v="4510"/>
    <n v="434"/>
    <n v="-6.2630000000000005E-2"/>
    <n v="6.4000000000000001E-2"/>
    <n v="2.4E-2"/>
    <n v="28.98"/>
    <n v="4.6100000000000003"/>
    <n v="29.37"/>
    <n v="0.112"/>
    <n v="17.19850187266"/>
    <n v="43"/>
    <s v="High cancellations"/>
    <x v="1"/>
    <n v="2"/>
    <s v="72 hours"/>
    <s v="Reduce prep time and cancellations via menu availability and staffing playbook"/>
    <s v="Operational audit: hours, menu cleanup, fulfillment consistency"/>
    <s v="Track prep time change and cancel reduction week over week"/>
    <m/>
    <m/>
    <m/>
    <n v="2"/>
    <m/>
  </r>
  <r>
    <s v="M0070"/>
    <d v="2026-01-05T00:00:00"/>
    <x v="9"/>
    <x v="1"/>
    <n v="140"/>
    <n v="4895.3"/>
    <n v="522"/>
    <n v="9.6699999999999998E-3"/>
    <n v="7.8570000000000001E-2"/>
    <n v="3.5709999999999999E-2"/>
    <n v="28.74"/>
    <n v="4.51"/>
    <n v="42.85"/>
    <n v="0.19286"/>
    <n v="22.03252235706"/>
    <n v="43"/>
    <s v="High cancellations"/>
    <x v="1"/>
    <n v="2"/>
    <s v="72 hours"/>
    <s v="Reduce prep time and cancellations via menu availability and staffing playbook"/>
    <s v="Operational audit: hours, menu cleanup, fulfillment consistency"/>
    <s v="Track prep time change and cancel reduction week over week"/>
    <m/>
    <m/>
    <m/>
    <n v="2"/>
    <m/>
  </r>
  <r>
    <s v="M0094"/>
    <d v="2026-01-05T00:00:00"/>
    <x v="7"/>
    <x v="3"/>
    <n v="290"/>
    <n v="5440.23"/>
    <n v="1153"/>
    <n v="2.946E-2"/>
    <n v="5.1720000000000002E-2"/>
    <n v="3.1029999999999999E-2"/>
    <n v="36.44"/>
    <n v="4.07"/>
    <n v="46.71"/>
    <n v="6.8970000000000004E-2"/>
    <n v="8.0322903018599998"/>
    <n v="43"/>
    <s v="Slow prep time"/>
    <x v="1"/>
    <n v="2"/>
    <s v="72 hours"/>
    <s v="Reduce prep time and cancellations via menu availability and staffing playbook"/>
    <s v="Operational audit: hours, menu cleanup, fulfillment consistency"/>
    <s v="Track prep time change and cancel reduction week over week"/>
    <m/>
    <m/>
    <m/>
    <n v="2"/>
    <m/>
  </r>
  <r>
    <s v="M0112"/>
    <d v="2026-01-05T00:00:00"/>
    <x v="8"/>
    <x v="2"/>
    <n v="257"/>
    <n v="4030.63"/>
    <n v="954"/>
    <n v="-6.4710000000000004E-2"/>
    <n v="5.058E-2"/>
    <n v="3.1130000000000001E-2"/>
    <n v="25.9"/>
    <n v="4.28"/>
    <n v="37.58"/>
    <n v="0.10895000000000001"/>
    <n v="11.685332091539999"/>
    <n v="43"/>
    <s v="High refunds"/>
    <x v="2"/>
    <n v="3"/>
    <s v="1 week"/>
    <s v="Cap spend, tighten targeting, reset campaigns with ROAS guardrails"/>
    <s v="Shift budget to top items and retarget high intent customers"/>
    <s v="Track ROAS lift and adoption efficiency weekly"/>
    <m/>
    <m/>
    <m/>
    <n v="3"/>
    <m/>
  </r>
  <r>
    <s v="M0083"/>
    <d v="2026-01-05T00:00:00"/>
    <x v="0"/>
    <x v="3"/>
    <n v="226"/>
    <n v="4778.09"/>
    <n v="796"/>
    <n v="-0.14038999999999999"/>
    <n v="4.4249999999999998E-2"/>
    <n v="2.2120000000000001E-2"/>
    <n v="25.89"/>
    <n v="4.5199999999999996"/>
    <n v="70.86"/>
    <n v="0.12831999999999999"/>
    <n v="8.6525224245000008"/>
    <n v="43"/>
    <s v="Low ROAS"/>
    <x v="2"/>
    <n v="3"/>
    <s v="1 week"/>
    <s v="Cap spend, tighten targeting, reset campaigns with ROAS guardrails"/>
    <s v="Shift budget to top items and retarget high intent customers"/>
    <s v="Track ROAS lift and adoption efficiency weekly"/>
    <m/>
    <m/>
    <m/>
    <n v="3"/>
    <m/>
  </r>
  <r>
    <s v="M0193"/>
    <d v="2026-01-05T00:00:00"/>
    <x v="1"/>
    <x v="4"/>
    <n v="198"/>
    <n v="4739.01"/>
    <n v="850"/>
    <n v="-0.16747999999999999"/>
    <n v="4.0399999999999998E-2"/>
    <n v="2.0199999999999999E-2"/>
    <n v="32.380000000000003"/>
    <n v="4.49"/>
    <n v="23.76"/>
    <n v="0.13636000000000001"/>
    <n v="27.198174999999999"/>
    <n v="43"/>
    <s v="Declining orders"/>
    <x v="3"/>
    <n v="5"/>
    <s v="2 weeks"/>
    <s v="Maintain baseline reporting and test small promos or ads"/>
    <s v="Run a cohort test and compare lift vs control"/>
    <s v="Monitor KPIs and investigate outliers"/>
    <m/>
    <m/>
    <m/>
    <n v="5"/>
    <m/>
  </r>
  <r>
    <s v="M0031"/>
    <d v="2026-01-05T00:00:00"/>
    <x v="3"/>
    <x v="2"/>
    <n v="156"/>
    <n v="2924.25"/>
    <n v="629"/>
    <n v="-0.13836000000000001"/>
    <n v="3.8460000000000001E-2"/>
    <n v="2.564E-2"/>
    <n v="29.96"/>
    <n v="4.7"/>
    <n v="24.49"/>
    <n v="0.10897"/>
    <n v="13.012179011840001"/>
    <n v="43"/>
    <s v="Declining orders"/>
    <x v="3"/>
    <n v="5"/>
    <s v="2 weeks"/>
    <s v="Maintain baseline reporting and test small promos or ads"/>
    <s v="Run a cohort test and compare lift vs control"/>
    <s v="Monitor KPIs and investigate outliers"/>
    <m/>
    <m/>
    <m/>
    <n v="5"/>
    <m/>
  </r>
  <r>
    <s v="M0106"/>
    <d v="2026-01-05T00:00:00"/>
    <x v="3"/>
    <x v="1"/>
    <n v="107"/>
    <n v="3704.43"/>
    <n v="434"/>
    <n v="-0.125"/>
    <n v="5.6070000000000002E-2"/>
    <n v="1.8689999999999998E-2"/>
    <n v="31.04"/>
    <n v="4.8099999999999996"/>
    <n v="33.56"/>
    <n v="0.21495"/>
    <n v="23.727036442189998"/>
    <n v="44"/>
    <s v="Declining orders"/>
    <x v="0"/>
    <n v="1"/>
    <s v="48 hours"/>
    <s v="Fix reliability drivers first, then run targeted promo to regain volume"/>
    <s v="Sales outreach with a 2 week recovery plan and weekly monitoring"/>
    <s v="Measure pre vs post lift: orders, cancellations, refunds, rating"/>
    <m/>
    <m/>
    <m/>
    <n v="1"/>
    <m/>
  </r>
  <r>
    <s v="M0076"/>
    <d v="2026-01-05T00:00:00"/>
    <x v="4"/>
    <x v="0"/>
    <n v="243"/>
    <n v="11299.14"/>
    <n v="984"/>
    <n v="-0.10627"/>
    <n v="6.5839999999999996E-2"/>
    <n v="1.6459999999999999E-2"/>
    <n v="40.98"/>
    <n v="4.8"/>
    <n v="71.849999999999994"/>
    <n v="0.23457"/>
    <n v="36.888177912320003"/>
    <n v="44"/>
    <s v="High cancellations"/>
    <x v="0"/>
    <n v="1"/>
    <s v="48 hours"/>
    <s v="Fix reliability drivers first, then run targeted promo to regain volume"/>
    <s v="Sales outreach with a 2 week recovery plan and weekly monitoring"/>
    <s v="Measure pre vs post lift: orders, cancellations, refunds, rating"/>
    <m/>
    <m/>
    <m/>
    <n v="1"/>
    <m/>
  </r>
  <r>
    <s v="M0019"/>
    <d v="2026-01-05T00:00:00"/>
    <x v="2"/>
    <x v="2"/>
    <n v="108"/>
    <n v="1942.83"/>
    <n v="360"/>
    <n v="3.4479999999999997E-2"/>
    <n v="5.5559999999999998E-2"/>
    <n v="2.7779999999999999E-2"/>
    <n v="34.56"/>
    <n v="4.3099999999999996"/>
    <n v="27.51"/>
    <n v="0.11111"/>
    <n v="7.8469648855000003"/>
    <n v="44"/>
    <s v="Slow prep time"/>
    <x v="1"/>
    <n v="2"/>
    <s v="72 hours"/>
    <s v="Reduce prep time and cancellations via menu availability and staffing playbook"/>
    <s v="Operational audit: hours, menu cleanup, fulfillment consistency"/>
    <s v="Track prep time change and cancel reduction week over week"/>
    <m/>
    <m/>
    <m/>
    <n v="2"/>
    <m/>
  </r>
  <r>
    <s v="M0016"/>
    <d v="2026-01-05T00:00:00"/>
    <x v="6"/>
    <x v="0"/>
    <n v="111"/>
    <n v="4364.13"/>
    <n v="417"/>
    <n v="7.7520000000000006E-2"/>
    <n v="6.3060000000000005E-2"/>
    <n v="2.7029999999999998E-2"/>
    <n v="44.48"/>
    <n v="4.25"/>
    <n v="34.99"/>
    <n v="0.13514000000000001"/>
    <n v="16.854738210920001"/>
    <n v="44"/>
    <s v="High cancellations"/>
    <x v="1"/>
    <n v="2"/>
    <s v="72 hours"/>
    <s v="Reduce prep time and cancellations via menu availability and staffing playbook"/>
    <s v="Operational audit: hours, menu cleanup, fulfillment consistency"/>
    <s v="Track prep time change and cancel reduction week over week"/>
    <m/>
    <m/>
    <m/>
    <n v="2"/>
    <m/>
  </r>
  <r>
    <s v="M0171"/>
    <d v="2026-01-05T00:00:00"/>
    <x v="1"/>
    <x v="2"/>
    <n v="148"/>
    <n v="2374.69"/>
    <n v="565"/>
    <n v="-0.18704999999999999"/>
    <n v="4.7300000000000002E-2"/>
    <n v="2.027E-2"/>
    <n v="21.74"/>
    <n v="4.57"/>
    <n v="37.06"/>
    <n v="0.20269999999999999"/>
    <n v="12.988561521859999"/>
    <n v="44"/>
    <s v="Declining orders"/>
    <x v="2"/>
    <n v="3"/>
    <s v="1 week"/>
    <s v="Cap spend, tighten targeting, reset campaigns with ROAS guardrails"/>
    <s v="Shift budget to top items and retarget high intent customers"/>
    <s v="Track ROAS lift and adoption efficiency weekly"/>
    <m/>
    <m/>
    <m/>
    <n v="3"/>
    <m/>
  </r>
  <r>
    <s v="M0182"/>
    <d v="2026-01-05T00:00:00"/>
    <x v="6"/>
    <x v="5"/>
    <n v="225"/>
    <n v="3444.86"/>
    <n v="1020"/>
    <n v="3.3430000000000001E-2"/>
    <n v="5.3330000000000002E-2"/>
    <n v="3.1109999999999999E-2"/>
    <n v="32.979999999999997"/>
    <n v="4.34"/>
    <n v="37.35"/>
    <n v="0.08"/>
    <n v="7.3785489156599997"/>
    <n v="44"/>
    <s v="High refunds"/>
    <x v="2"/>
    <n v="3"/>
    <s v="1 week"/>
    <s v="Cap spend, tighten targeting, reset campaigns with ROAS guardrails"/>
    <s v="Shift budget to top items and retarget high intent customers"/>
    <s v="Track ROAS lift and adoption efficiency weekly"/>
    <m/>
    <m/>
    <m/>
    <n v="3"/>
    <m/>
  </r>
  <r>
    <s v="M0018"/>
    <d v="2026-01-05T00:00:00"/>
    <x v="9"/>
    <x v="4"/>
    <n v="105"/>
    <n v="2994.68"/>
    <n v="337"/>
    <n v="-0.17402000000000001"/>
    <n v="3.8100000000000002E-2"/>
    <n v="1.9050000000000001E-2"/>
    <n v="31.54"/>
    <n v="4.8099999999999996"/>
    <n v="43.85"/>
    <n v="0.18095"/>
    <n v="12.357912839220001"/>
    <n v="44"/>
    <s v="Low ROAS"/>
    <x v="2"/>
    <n v="3"/>
    <s v="1 week"/>
    <s v="Cap spend, tighten targeting, reset campaigns with ROAS guardrails"/>
    <s v="Shift budget to top items and retarget high intent customers"/>
    <s v="Track ROAS lift and adoption efficiency weekly"/>
    <m/>
    <m/>
    <m/>
    <n v="3"/>
    <m/>
  </r>
  <r>
    <s v="M0028"/>
    <d v="2026-01-05T00:00:00"/>
    <x v="7"/>
    <x v="3"/>
    <n v="192"/>
    <n v="4776.5"/>
    <n v="808"/>
    <n v="-0.13305"/>
    <n v="4.6879999999999998E-2"/>
    <n v="2.6040000000000001E-2"/>
    <n v="25.98"/>
    <n v="4.6900000000000004"/>
    <n v="32.65"/>
    <n v="9.375E-2"/>
    <n v="13.71506499234"/>
    <n v="44"/>
    <s v="Declining orders"/>
    <x v="3"/>
    <n v="5"/>
    <s v="2 weeks"/>
    <s v="Maintain baseline reporting and test small promos or ads"/>
    <s v="Run a cohort test and compare lift vs control"/>
    <s v="Monitor KPIs and investigate outliers"/>
    <m/>
    <m/>
    <m/>
    <n v="5"/>
    <m/>
  </r>
  <r>
    <s v="M0101"/>
    <d v="2026-01-05T00:00:00"/>
    <x v="4"/>
    <x v="5"/>
    <n v="214"/>
    <n v="3020.29"/>
    <n v="833"/>
    <n v="-0.11665"/>
    <n v="5.1400000000000001E-2"/>
    <n v="2.8039999999999999E-2"/>
    <n v="21.22"/>
    <n v="4.54"/>
    <n v="33.04"/>
    <n v="0.15887999999999999"/>
    <n v="14.52358262712"/>
    <n v="44"/>
    <s v="Stable"/>
    <x v="3"/>
    <n v="5"/>
    <s v="2 weeks"/>
    <s v="Maintain baseline reporting and test small promos or ads"/>
    <s v="Run a cohort test and compare lift vs control"/>
    <s v="Monitor KPIs and investigate outliers"/>
    <m/>
    <m/>
    <m/>
    <n v="5"/>
    <m/>
  </r>
  <r>
    <s v="M0059"/>
    <d v="2026-01-05T00:00:00"/>
    <x v="9"/>
    <x v="1"/>
    <n v="93"/>
    <n v="3341.16"/>
    <n v="453"/>
    <n v="1.116E-2"/>
    <n v="7.5270000000000004E-2"/>
    <n v="3.2259999999999997E-2"/>
    <n v="34.15"/>
    <n v="4.5199999999999996"/>
    <n v="9.02"/>
    <n v="0.16128999999999999"/>
    <n v="59.744654101999998"/>
    <n v="45"/>
    <s v="High cancellations"/>
    <x v="1"/>
    <n v="2"/>
    <s v="72 hours"/>
    <s v="Reduce prep time and cancellations via menu availability and staffing playbook"/>
    <s v="Operational audit: hours, menu cleanup, fulfillment consistency"/>
    <s v="Track prep time change and cancel reduction week over week"/>
    <m/>
    <m/>
    <m/>
    <n v="2"/>
    <m/>
  </r>
  <r>
    <s v="M0123"/>
    <d v="2026-01-05T00:00:00"/>
    <x v="4"/>
    <x v="0"/>
    <n v="323"/>
    <n v="16423.099999999999"/>
    <n v="1103"/>
    <n v="-5.8069999999999997E-2"/>
    <n v="5.8819999999999997E-2"/>
    <n v="2.477E-2"/>
    <n v="43.82"/>
    <n v="4.8499999999999996"/>
    <n v="97.54"/>
    <n v="0.13932"/>
    <n v="23.457535318840002"/>
    <n v="45"/>
    <s v="High cancellations"/>
    <x v="1"/>
    <n v="2"/>
    <s v="72 hours"/>
    <s v="Reduce prep time and cancellations via menu availability and staffing playbook"/>
    <s v="Operational audit: hours, menu cleanup, fulfillment consistency"/>
    <s v="Track prep time change and cancel reduction week over week"/>
    <m/>
    <m/>
    <m/>
    <n v="2"/>
    <m/>
  </r>
  <r>
    <s v="M0159"/>
    <d v="2026-01-05T00:00:00"/>
    <x v="1"/>
    <x v="2"/>
    <n v="151"/>
    <n v="2908.8"/>
    <n v="612"/>
    <n v="-3.3180000000000001E-2"/>
    <n v="5.2979999999999999E-2"/>
    <n v="3.3110000000000001E-2"/>
    <n v="25.71"/>
    <n v="4.46"/>
    <n v="35.83"/>
    <n v="9.9339999999999998E-2"/>
    <n v="8.0645727044399997"/>
    <n v="45"/>
    <s v="High refunds"/>
    <x v="2"/>
    <n v="3"/>
    <s v="1 week"/>
    <s v="Cap spend, tighten targeting, reset campaigns with ROAS guardrails"/>
    <s v="Shift budget to top items and retarget high intent customers"/>
    <s v="Track ROAS lift and adoption efficiency weekly"/>
    <m/>
    <m/>
    <m/>
    <n v="3"/>
    <m/>
  </r>
  <r>
    <s v="M0114"/>
    <d v="2026-01-05T00:00:00"/>
    <x v="6"/>
    <x v="3"/>
    <n v="312"/>
    <n v="7788.58"/>
    <n v="1083"/>
    <n v="-9.8250000000000004E-2"/>
    <n v="5.1279999999999999E-2"/>
    <n v="3.2050000000000002E-2"/>
    <n v="25.51"/>
    <n v="4.84"/>
    <n v="119.92"/>
    <n v="0.17949000000000001"/>
    <n v="11.657356837889999"/>
    <n v="45"/>
    <s v="High refunds"/>
    <x v="2"/>
    <n v="3"/>
    <s v="1 week"/>
    <s v="Cap spend, tighten targeting, reset campaigns with ROAS guardrails"/>
    <s v="Shift budget to top items and retarget high intent customers"/>
    <s v="Track ROAS lift and adoption efficiency weekly"/>
    <m/>
    <m/>
    <m/>
    <n v="3"/>
    <m/>
  </r>
  <r>
    <s v="M0065"/>
    <d v="2026-01-05T00:00:00"/>
    <x v="8"/>
    <x v="4"/>
    <n v="162"/>
    <n v="4850.34"/>
    <n v="595"/>
    <n v="-0.11458"/>
    <n v="4.3209999999999998E-2"/>
    <n v="2.469E-2"/>
    <n v="31.87"/>
    <n v="4.68"/>
    <n v="44.8"/>
    <n v="0.1358"/>
    <n v="14.70286026786"/>
    <n v="46"/>
    <s v="Stable"/>
    <x v="3"/>
    <n v="5"/>
    <s v="2 weeks"/>
    <s v="Maintain baseline reporting and test small promos or ads"/>
    <s v="Run a cohort test and compare lift vs control"/>
    <s v="Monitor KPIs and investigate outliers"/>
    <m/>
    <m/>
    <m/>
    <n v="5"/>
    <m/>
  </r>
  <r>
    <s v="M0183"/>
    <d v="2026-01-05T00:00:00"/>
    <x v="4"/>
    <x v="0"/>
    <n v="107"/>
    <n v="4637.33"/>
    <n v="365"/>
    <n v="-0.10539"/>
    <n v="5.6070000000000002E-2"/>
    <n v="9.3500000000000007E-3"/>
    <n v="44.75"/>
    <n v="4.7699999999999996"/>
    <n v="35.869999999999997"/>
    <n v="0.19625999999999999"/>
    <n v="25.373019040980001"/>
    <n v="47"/>
    <s v="Slow prep time"/>
    <x v="0"/>
    <n v="1"/>
    <s v="48 hours"/>
    <s v="Fix reliability drivers first, then run targeted promo to regain volume"/>
    <s v="Sales outreach with a 2 week recovery plan and weekly monitoring"/>
    <s v="Measure pre vs post lift: orders, cancellations, refunds, rating"/>
    <m/>
    <m/>
    <m/>
    <n v="1"/>
    <m/>
  </r>
  <r>
    <s v="M0181"/>
    <d v="2026-01-05T00:00:00"/>
    <x v="5"/>
    <x v="3"/>
    <n v="191"/>
    <n v="4449.08"/>
    <n v="707"/>
    <n v="-0.15431"/>
    <n v="3.6650000000000002E-2"/>
    <n v="2.6179999999999998E-2"/>
    <n v="26.78"/>
    <n v="4.8499999999999996"/>
    <n v="56.34"/>
    <n v="0.15182999999999999"/>
    <n v="11.98996764288"/>
    <n v="47"/>
    <s v="Low ROAS"/>
    <x v="2"/>
    <n v="3"/>
    <s v="1 week"/>
    <s v="Cap spend, tighten targeting, reset campaigns with ROAS guardrails"/>
    <s v="Shift budget to top items and retarget high intent customers"/>
    <s v="Track ROAS lift and adoption efficiency weekly"/>
    <m/>
    <m/>
    <m/>
    <n v="3"/>
    <m/>
  </r>
  <r>
    <s v="M0022"/>
    <d v="2026-01-05T00:00:00"/>
    <x v="7"/>
    <x v="3"/>
    <n v="114"/>
    <n v="2148.35"/>
    <n v="421"/>
    <n v="-4.1000000000000002E-2"/>
    <n v="4.3860000000000003E-2"/>
    <n v="3.5090000000000003E-2"/>
    <n v="26.83"/>
    <n v="4.12"/>
    <n v="10.46"/>
    <n v="5.2630000000000003E-2"/>
    <n v="10.80985181644"/>
    <n v="47"/>
    <s v="High refunds"/>
    <x v="3"/>
    <n v="5"/>
    <s v="2 weeks"/>
    <s v="Maintain baseline reporting and test small promos or ads"/>
    <s v="Run a cohort test and compare lift vs control"/>
    <s v="Monitor KPIs and investigate outliers"/>
    <m/>
    <m/>
    <m/>
    <n v="5"/>
    <m/>
  </r>
  <r>
    <s v="M0166"/>
    <d v="2026-01-05T00:00:00"/>
    <x v="2"/>
    <x v="1"/>
    <n v="260"/>
    <n v="8252.61"/>
    <n v="926"/>
    <n v="-0.11724999999999999"/>
    <n v="5.3850000000000002E-2"/>
    <n v="1.9230000000000001E-2"/>
    <n v="28.7"/>
    <n v="4.7699999999999996"/>
    <n v="61.08"/>
    <n v="0.16922999999999999"/>
    <n v="22.865022134909999"/>
    <n v="47"/>
    <s v="Stable"/>
    <x v="3"/>
    <n v="5"/>
    <s v="2 weeks"/>
    <s v="Maintain baseline reporting and test small promos or ads"/>
    <s v="Run a cohort test and compare lift vs control"/>
    <s v="Monitor KPIs and investigate outliers"/>
    <m/>
    <m/>
    <m/>
    <n v="5"/>
    <m/>
  </r>
  <r>
    <s v="M0194"/>
    <d v="2026-01-05T00:00:00"/>
    <x v="5"/>
    <x v="0"/>
    <n v="131"/>
    <n v="5396.28"/>
    <n v="633"/>
    <n v="-7.0480000000000001E-2"/>
    <n v="5.3440000000000001E-2"/>
    <n v="2.29E-2"/>
    <n v="43.14"/>
    <n v="4.67"/>
    <n v="9.3000000000000007"/>
    <n v="0.14504"/>
    <n v="84.157694946239999"/>
    <n v="48"/>
    <s v="Slow prep time"/>
    <x v="1"/>
    <n v="2"/>
    <s v="72 hours"/>
    <s v="Reduce prep time and cancellations via menu availability and staffing playbook"/>
    <s v="Operational audit: hours, menu cleanup, fulfillment consistency"/>
    <s v="Track prep time change and cancel reduction week over week"/>
    <m/>
    <m/>
    <m/>
    <n v="2"/>
    <m/>
  </r>
  <r>
    <s v="M0042"/>
    <d v="2026-01-05T00:00:00"/>
    <x v="5"/>
    <x v="0"/>
    <n v="308"/>
    <n v="12587.65"/>
    <n v="1072"/>
    <n v="-1.107E-2"/>
    <n v="5.8439999999999999E-2"/>
    <n v="2.597E-2"/>
    <n v="46.87"/>
    <n v="4.5999999999999996"/>
    <n v="36.89"/>
    <n v="0.13961000000000001"/>
    <n v="47.63802499322"/>
    <n v="48"/>
    <s v="High cancellations"/>
    <x v="1"/>
    <n v="2"/>
    <s v="72 hours"/>
    <s v="Reduce prep time and cancellations via menu availability and staffing playbook"/>
    <s v="Operational audit: hours, menu cleanup, fulfillment consistency"/>
    <s v="Track prep time change and cancel reduction week over week"/>
    <m/>
    <m/>
    <m/>
    <n v="2"/>
    <m/>
  </r>
  <r>
    <s v="M0088"/>
    <d v="2026-01-05T00:00:00"/>
    <x v="5"/>
    <x v="3"/>
    <n v="185"/>
    <n v="3698.82"/>
    <n v="618"/>
    <n v="-0.14404"/>
    <n v="4.3240000000000001E-2"/>
    <n v="2.162E-2"/>
    <n v="23.64"/>
    <n v="4.62"/>
    <n v="47.85"/>
    <n v="0.16757"/>
    <n v="12.953025747130001"/>
    <n v="48"/>
    <s v="Declining orders"/>
    <x v="2"/>
    <n v="3"/>
    <s v="1 week"/>
    <s v="Cap spend, tighten targeting, reset campaigns with ROAS guardrails"/>
    <s v="Shift budget to top items and retarget high intent customers"/>
    <s v="Track ROAS lift and adoption efficiency weekly"/>
    <m/>
    <m/>
    <m/>
    <n v="3"/>
    <m/>
  </r>
  <r>
    <s v="M0029"/>
    <d v="2026-01-05T00:00:00"/>
    <x v="0"/>
    <x v="3"/>
    <n v="268"/>
    <n v="6454.94"/>
    <n v="1056"/>
    <n v="-6.0499999999999998E-2"/>
    <n v="5.2240000000000002E-2"/>
    <n v="2.9850000000000002E-2"/>
    <n v="25.74"/>
    <n v="4.66"/>
    <n v="91.7"/>
    <n v="0.17537"/>
    <n v="12.344853424209999"/>
    <n v="48"/>
    <s v="High refunds"/>
    <x v="2"/>
    <n v="3"/>
    <s v="1 week"/>
    <s v="Cap spend, tighten targeting, reset campaigns with ROAS guardrails"/>
    <s v="Shift budget to top items and retarget high intent customers"/>
    <s v="Track ROAS lift and adoption efficiency weekly"/>
    <m/>
    <m/>
    <m/>
    <n v="3"/>
    <m/>
  </r>
  <r>
    <s v="M0081"/>
    <d v="2026-01-05T00:00:00"/>
    <x v="6"/>
    <x v="5"/>
    <n v="221"/>
    <n v="3496.99"/>
    <n v="956"/>
    <n v="-0.16506999999999999"/>
    <n v="4.5249999999999999E-2"/>
    <n v="2.2620000000000001E-2"/>
    <n v="22.74"/>
    <n v="4.6900000000000004"/>
    <n v="21.27"/>
    <n v="0.1086"/>
    <n v="17.854424823700001"/>
    <n v="48"/>
    <s v="Declining orders"/>
    <x v="3"/>
    <n v="5"/>
    <s v="2 weeks"/>
    <s v="Maintain baseline reporting and test small promos or ads"/>
    <s v="Run a cohort test and compare lift vs control"/>
    <s v="Monitor KPIs and investigate outliers"/>
    <m/>
    <m/>
    <m/>
    <n v="5"/>
    <m/>
  </r>
  <r>
    <s v="M0151"/>
    <d v="2026-01-05T00:00:00"/>
    <x v="9"/>
    <x v="2"/>
    <n v="91"/>
    <n v="1734.81"/>
    <n v="321"/>
    <n v="-3.0210000000000001E-2"/>
    <n v="4.3959999999999999E-2"/>
    <n v="3.2969999999999999E-2"/>
    <n v="30.86"/>
    <n v="4.54"/>
    <n v="21.46"/>
    <n v="0.10989"/>
    <n v="8.8834324324300002"/>
    <n v="48"/>
    <s v="High refunds"/>
    <x v="3"/>
    <n v="5"/>
    <s v="2 weeks"/>
    <s v="Maintain baseline reporting and test small promos or ads"/>
    <s v="Run a cohort test and compare lift vs control"/>
    <s v="Monitor KPIs and investigate outliers"/>
    <m/>
    <m/>
    <m/>
    <n v="5"/>
    <m/>
  </r>
  <r>
    <s v="M0039"/>
    <d v="2026-01-05T00:00:00"/>
    <x v="1"/>
    <x v="2"/>
    <n v="268"/>
    <n v="4495.49"/>
    <n v="978"/>
    <n v="-0.10603"/>
    <n v="5.2240000000000002E-2"/>
    <n v="2.6120000000000001E-2"/>
    <n v="23.04"/>
    <n v="4.57"/>
    <n v="40.08"/>
    <n v="0.17163999999999999"/>
    <n v="19.251844710579999"/>
    <n v="48"/>
    <s v="Stable"/>
    <x v="3"/>
    <n v="5"/>
    <s v="2 weeks"/>
    <s v="Maintain baseline reporting and test small promos or ads"/>
    <s v="Run a cohort test and compare lift vs control"/>
    <s v="Monitor KPIs and investigate outliers"/>
    <m/>
    <m/>
    <m/>
    <n v="5"/>
    <m/>
  </r>
  <r>
    <s v="M0020"/>
    <d v="2026-01-05T00:00:00"/>
    <x v="7"/>
    <x v="3"/>
    <n v="216"/>
    <n v="4379.92"/>
    <n v="839"/>
    <n v="2.3900000000000002E-3"/>
    <n v="5.5559999999999998E-2"/>
    <n v="3.2410000000000001E-2"/>
    <n v="27.84"/>
    <n v="4.43"/>
    <n v="52.07"/>
    <n v="0.18518999999999999"/>
    <n v="15.57703629729"/>
    <n v="48"/>
    <s v="High refunds"/>
    <x v="3"/>
    <n v="5"/>
    <s v="2 weeks"/>
    <s v="Maintain baseline reporting and test small promos or ads"/>
    <s v="Run a cohort test and compare lift vs control"/>
    <s v="Monitor KPIs and investigate outliers"/>
    <m/>
    <m/>
    <m/>
    <n v="5"/>
    <m/>
  </r>
  <r>
    <s v="M0157"/>
    <d v="2026-01-05T00:00:00"/>
    <x v="7"/>
    <x v="5"/>
    <n v="116"/>
    <n v="1564.09"/>
    <n v="461"/>
    <n v="-6.4700000000000001E-3"/>
    <n v="6.0339999999999998E-2"/>
    <n v="2.5860000000000001E-2"/>
    <n v="27.26"/>
    <n v="4.21"/>
    <n v="11.42"/>
    <n v="0.12931000000000001"/>
    <n v="17.710421190889999"/>
    <n v="49"/>
    <s v="High cancellations"/>
    <x v="1"/>
    <n v="2"/>
    <s v="72 hours"/>
    <s v="Reduce prep time and cancellations via menu availability and staffing playbook"/>
    <s v="Operational audit: hours, menu cleanup, fulfillment consistency"/>
    <s v="Track prep time change and cancel reduction week over week"/>
    <m/>
    <m/>
    <m/>
    <n v="2"/>
    <m/>
  </r>
  <r>
    <s v="M0168"/>
    <d v="2026-01-05T00:00:00"/>
    <x v="5"/>
    <x v="5"/>
    <n v="114"/>
    <n v="1787.98"/>
    <n v="430"/>
    <n v="6.9650000000000004E-2"/>
    <n v="5.2630000000000003E-2"/>
    <n v="3.5090000000000003E-2"/>
    <n v="28.05"/>
    <n v="4.4000000000000004"/>
    <n v="47.39"/>
    <n v="0.13158"/>
    <n v="4.9643495463200003"/>
    <n v="49"/>
    <s v="High refunds"/>
    <x v="2"/>
    <n v="3"/>
    <s v="1 week"/>
    <s v="Cap spend, tighten targeting, reset campaigns with ROAS guardrails"/>
    <s v="Shift budget to top items and retarget high intent customers"/>
    <s v="Track ROAS lift and adoption efficiency weekly"/>
    <m/>
    <m/>
    <m/>
    <n v="3"/>
    <m/>
  </r>
  <r>
    <s v="M0191"/>
    <d v="2026-01-05T00:00:00"/>
    <x v="9"/>
    <x v="2"/>
    <n v="132"/>
    <n v="2328.2399999999998"/>
    <n v="554"/>
    <n v="-5.9420000000000001E-2"/>
    <n v="5.3030000000000001E-2"/>
    <n v="2.273E-2"/>
    <n v="28.08"/>
    <n v="4.47"/>
    <n v="16.010000000000002"/>
    <n v="0.11364"/>
    <n v="16.525467207999998"/>
    <n v="49"/>
    <s v="Stable"/>
    <x v="3"/>
    <n v="5"/>
    <s v="2 weeks"/>
    <s v="Maintain baseline reporting and test small promos or ads"/>
    <s v="Run a cohort test and compare lift vs control"/>
    <s v="Monitor KPIs and investigate outliers"/>
    <m/>
    <m/>
    <m/>
    <n v="5"/>
    <m/>
  </r>
  <r>
    <s v="M0199"/>
    <d v="2026-01-05T00:00:00"/>
    <x v="1"/>
    <x v="1"/>
    <n v="89"/>
    <n v="2576.3000000000002"/>
    <n v="309"/>
    <n v="-6.3640000000000002E-2"/>
    <n v="5.6180000000000001E-2"/>
    <n v="2.247E-2"/>
    <n v="23.89"/>
    <n v="4.46"/>
    <n v="24.53"/>
    <n v="0.13483000000000001"/>
    <n v="14.160876151649999"/>
    <n v="49"/>
    <s v="Stable"/>
    <x v="3"/>
    <n v="5"/>
    <s v="2 weeks"/>
    <s v="Maintain baseline reporting and test small promos or ads"/>
    <s v="Run a cohort test and compare lift vs control"/>
    <s v="Monitor KPIs and investigate outliers"/>
    <m/>
    <m/>
    <m/>
    <n v="5"/>
    <m/>
  </r>
  <r>
    <s v="M0064"/>
    <d v="2026-01-05T00:00:00"/>
    <x v="3"/>
    <x v="2"/>
    <n v="195"/>
    <n v="3062.48"/>
    <n v="674"/>
    <n v="-0.11199000000000001"/>
    <n v="4.6149999999999997E-2"/>
    <n v="2.051E-2"/>
    <n v="29.06"/>
    <n v="4.59"/>
    <n v="28.39"/>
    <n v="0.17435999999999999"/>
    <n v="18.80841437126"/>
    <n v="49"/>
    <s v="Stable"/>
    <x v="3"/>
    <n v="5"/>
    <s v="2 weeks"/>
    <s v="Maintain baseline reporting and test small promos or ads"/>
    <s v="Run a cohort test and compare lift vs control"/>
    <s v="Monitor KPIs and investigate outliers"/>
    <m/>
    <m/>
    <m/>
    <n v="5"/>
    <m/>
  </r>
  <r>
    <s v="M0195"/>
    <d v="2026-01-05T00:00:00"/>
    <x v="0"/>
    <x v="0"/>
    <n v="162"/>
    <n v="7303.12"/>
    <n v="606"/>
    <n v="-0.10750999999999999"/>
    <n v="5.5559999999999998E-2"/>
    <n v="1.235E-2"/>
    <n v="42.09"/>
    <n v="4.8499999999999996"/>
    <n v="32.49"/>
    <n v="0.19136"/>
    <n v="43.013561957530001"/>
    <n v="50"/>
    <s v="Slow prep time"/>
    <x v="0"/>
    <n v="1"/>
    <s v="48 hours"/>
    <s v="Fix reliability drivers first, then run targeted promo to regain volume"/>
    <s v="Sales outreach with a 2 week recovery plan and weekly monitoring"/>
    <s v="Measure pre vs post lift: orders, cancellations, refunds, rating"/>
    <m/>
    <m/>
    <m/>
    <n v="1"/>
    <m/>
  </r>
  <r>
    <s v="M0009"/>
    <d v="2026-01-05T00:00:00"/>
    <x v="8"/>
    <x v="0"/>
    <n v="154"/>
    <n v="6595.28"/>
    <n v="607"/>
    <n v="-0.12536"/>
    <n v="3.8960000000000002E-2"/>
    <n v="1.9480000000000001E-2"/>
    <n v="43.28"/>
    <n v="4.8"/>
    <n v="26.57"/>
    <n v="0.11039"/>
    <n v="27.401219345129999"/>
    <n v="50"/>
    <s v="Slow prep time"/>
    <x v="1"/>
    <n v="2"/>
    <s v="72 hours"/>
    <s v="Reduce prep time and cancellations via menu availability and staffing playbook"/>
    <s v="Operational audit: hours, menu cleanup, fulfillment consistency"/>
    <s v="Track prep time change and cancel reduction week over week"/>
    <m/>
    <m/>
    <m/>
    <n v="2"/>
    <m/>
  </r>
  <r>
    <s v="M0057"/>
    <d v="2026-01-05T00:00:00"/>
    <x v="7"/>
    <x v="0"/>
    <n v="170"/>
    <n v="6851.34"/>
    <n v="630"/>
    <n v="-7.6249999999999998E-2"/>
    <n v="5.2940000000000001E-2"/>
    <n v="1.7649999999999999E-2"/>
    <n v="45.4"/>
    <n v="4.71"/>
    <n v="52.03"/>
    <n v="0.21176"/>
    <n v="27.885296944069999"/>
    <n v="50"/>
    <s v="Slow prep time"/>
    <x v="1"/>
    <n v="2"/>
    <s v="72 hours"/>
    <s v="Reduce prep time and cancellations via menu availability and staffing playbook"/>
    <s v="Operational audit: hours, menu cleanup, fulfillment consistency"/>
    <s v="Track prep time change and cancel reduction week over week"/>
    <m/>
    <m/>
    <m/>
    <n v="2"/>
    <m/>
  </r>
  <r>
    <s v="M0108"/>
    <d v="2026-01-05T00:00:00"/>
    <x v="6"/>
    <x v="0"/>
    <n v="173"/>
    <n v="7719.61"/>
    <n v="645"/>
    <n v="2.0570000000000001E-2"/>
    <n v="5.7799999999999997E-2"/>
    <n v="2.3120000000000002E-2"/>
    <n v="48.75"/>
    <n v="4.6399999999999997"/>
    <n v="52.93"/>
    <n v="0.12717000000000001"/>
    <n v="18.54684500283"/>
    <n v="50"/>
    <s v="High cancellations"/>
    <x v="1"/>
    <n v="2"/>
    <s v="72 hours"/>
    <s v="Reduce prep time and cancellations via menu availability and staffing playbook"/>
    <s v="Operational audit: hours, menu cleanup, fulfillment consistency"/>
    <s v="Track prep time change and cancel reduction week over week"/>
    <m/>
    <m/>
    <m/>
    <n v="2"/>
    <m/>
  </r>
  <r>
    <s v="M0095"/>
    <d v="2026-01-05T00:00:00"/>
    <x v="5"/>
    <x v="0"/>
    <n v="229"/>
    <n v="11334.47"/>
    <n v="931"/>
    <n v="1.7489999999999999E-2"/>
    <n v="6.9870000000000002E-2"/>
    <n v="2.6200000000000001E-2"/>
    <n v="46.13"/>
    <n v="4.7699999999999996"/>
    <n v="74.900000000000006"/>
    <n v="0.21834000000000001"/>
    <n v="33.041056074769998"/>
    <n v="50"/>
    <s v="High cancellations"/>
    <x v="1"/>
    <n v="2"/>
    <s v="72 hours"/>
    <s v="Reduce prep time and cancellations via menu availability and staffing playbook"/>
    <s v="Operational audit: hours, menu cleanup, fulfillment consistency"/>
    <s v="Track prep time change and cancel reduction week over week"/>
    <m/>
    <m/>
    <m/>
    <n v="2"/>
    <m/>
  </r>
  <r>
    <s v="M0180"/>
    <d v="2026-01-05T00:00:00"/>
    <x v="7"/>
    <x v="5"/>
    <n v="210"/>
    <n v="3032.82"/>
    <n v="949"/>
    <n v="2.7060000000000001E-2"/>
    <n v="4.7620000000000003E-2"/>
    <n v="3.3329999999999999E-2"/>
    <n v="28.76"/>
    <n v="4.41"/>
    <n v="47.65"/>
    <n v="0.10476000000000001"/>
    <n v="6.66786988458"/>
    <n v="50"/>
    <s v="High refunds"/>
    <x v="2"/>
    <n v="3"/>
    <s v="1 week"/>
    <s v="Cap spend, tighten targeting, reset campaigns with ROAS guardrails"/>
    <s v="Shift budget to top items and retarget high intent customers"/>
    <s v="Track ROAS lift and adoption efficiency weekly"/>
    <m/>
    <m/>
    <m/>
    <n v="3"/>
    <m/>
  </r>
  <r>
    <s v="M0143"/>
    <d v="2026-01-05T00:00:00"/>
    <x v="0"/>
    <x v="3"/>
    <n v="102"/>
    <n v="1945.77"/>
    <n v="436"/>
    <n v="-2.0219999999999998E-2"/>
    <n v="3.9219999999999998E-2"/>
    <n v="2.9409999999999999E-2"/>
    <n v="33.659999999999997"/>
    <n v="4.38"/>
    <n v="22.91"/>
    <n v="0.14706"/>
    <n v="12.48985770406"/>
    <n v="50"/>
    <s v="Low ROAS"/>
    <x v="3"/>
    <n v="5"/>
    <s v="2 weeks"/>
    <s v="Maintain baseline reporting and test small promos or ads"/>
    <s v="Run a cohort test and compare lift vs control"/>
    <s v="Monitor KPIs and investigate outliers"/>
    <m/>
    <m/>
    <m/>
    <n v="5"/>
    <m/>
  </r>
  <r>
    <s v="M0139"/>
    <d v="2026-01-05T00:00:00"/>
    <x v="3"/>
    <x v="1"/>
    <n v="205"/>
    <n v="5863.33"/>
    <n v="920"/>
    <n v="-8.7300000000000003E-2"/>
    <n v="4.8779999999999997E-2"/>
    <n v="2.4389999999999998E-2"/>
    <n v="24.15"/>
    <n v="4.3600000000000003"/>
    <n v="30.89"/>
    <n v="8.7800000000000003E-2"/>
    <n v="16.666525736480001"/>
    <n v="50"/>
    <s v="Stable"/>
    <x v="3"/>
    <n v="5"/>
    <s v="2 weeks"/>
    <s v="Maintain baseline reporting and test small promos or ads"/>
    <s v="Run a cohort test and compare lift vs control"/>
    <s v="Monitor KPIs and investigate outliers"/>
    <m/>
    <m/>
    <m/>
    <n v="5"/>
    <m/>
  </r>
  <r>
    <s v="M0121"/>
    <d v="2026-01-05T00:00:00"/>
    <x v="7"/>
    <x v="3"/>
    <n v="188"/>
    <n v="3570.2"/>
    <n v="706"/>
    <n v="-5.2350000000000001E-2"/>
    <n v="4.7870000000000003E-2"/>
    <n v="2.128E-2"/>
    <n v="31.56"/>
    <n v="4.4800000000000004"/>
    <n v="51.26"/>
    <n v="0.19148999999999999"/>
    <n v="13.33701396801"/>
    <n v="50"/>
    <s v="Stable"/>
    <x v="3"/>
    <n v="5"/>
    <s v="2 weeks"/>
    <s v="Maintain baseline reporting and test small promos or ads"/>
    <s v="Run a cohort test and compare lift vs control"/>
    <s v="Monitor KPIs and investigate outliers"/>
    <m/>
    <m/>
    <m/>
    <n v="5"/>
    <m/>
  </r>
  <r>
    <s v="M0097"/>
    <d v="2026-01-05T00:00:00"/>
    <x v="6"/>
    <x v="3"/>
    <n v="281"/>
    <n v="6219.09"/>
    <n v="972"/>
    <n v="-4.1419999999999998E-2"/>
    <n v="4.2700000000000002E-2"/>
    <n v="2.8469999999999999E-2"/>
    <n v="30.45"/>
    <n v="4.6100000000000003"/>
    <n v="114.83"/>
    <n v="0.13522999999999999"/>
    <n v="7.3240070887400002"/>
    <n v="51"/>
    <s v="Low ROAS"/>
    <x v="2"/>
    <n v="3"/>
    <s v="1 week"/>
    <s v="Cap spend, tighten targeting, reset campaigns with ROAS guardrails"/>
    <s v="Shift budget to top items and retarget high intent customers"/>
    <s v="Track ROAS lift and adoption efficiency weekly"/>
    <m/>
    <m/>
    <m/>
    <n v="3"/>
    <m/>
  </r>
  <r>
    <s v="M0153"/>
    <d v="2026-01-05T00:00:00"/>
    <x v="8"/>
    <x v="1"/>
    <n v="193"/>
    <n v="6583.62"/>
    <n v="769"/>
    <n v="-0.13886000000000001"/>
    <n v="4.6629999999999998E-2"/>
    <n v="2.0729999999999998E-2"/>
    <n v="25.67"/>
    <n v="4.8099999999999996"/>
    <n v="35.450000000000003"/>
    <n v="9.3259999999999996E-2"/>
    <n v="17.320631255289999"/>
    <n v="51"/>
    <s v="Declining orders"/>
    <x v="4"/>
    <n v="4"/>
    <s v="1 week"/>
    <s v="Upsell ads with a clear ROI story and onboarding checklist"/>
    <s v="Launch starter ads package and track incremental orders weekly"/>
    <s v="Track adoption, spend, and repeat rate"/>
    <m/>
    <m/>
    <m/>
    <n v="4"/>
    <m/>
  </r>
  <r>
    <s v="M0001"/>
    <d v="2026-01-05T00:00:00"/>
    <x v="2"/>
    <x v="5"/>
    <n v="209"/>
    <n v="3390.82"/>
    <n v="816"/>
    <n v="4.9300000000000004E-3"/>
    <n v="5.7419999999999999E-2"/>
    <n v="3.3489999999999999E-2"/>
    <n v="24.48"/>
    <n v="4.6900000000000004"/>
    <n v="47.68"/>
    <n v="0.18182000000000001"/>
    <n v="12.930216484900001"/>
    <n v="52"/>
    <s v="High cancellations"/>
    <x v="1"/>
    <n v="2"/>
    <s v="72 hours"/>
    <s v="Reduce prep time and cancellations via menu availability and staffing playbook"/>
    <s v="Operational audit: hours, menu cleanup, fulfillment consistency"/>
    <s v="Track prep time change and cancel reduction week over week"/>
    <m/>
    <m/>
    <m/>
    <n v="2"/>
    <m/>
  </r>
  <r>
    <s v="M0067"/>
    <d v="2026-01-05T00:00:00"/>
    <x v="3"/>
    <x v="4"/>
    <n v="164"/>
    <n v="4765.58"/>
    <n v="638"/>
    <n v="-0.12242"/>
    <n v="4.2680000000000003E-2"/>
    <n v="1.8290000000000001E-2"/>
    <n v="34.07"/>
    <n v="4.8899999999999997"/>
    <n v="52.17"/>
    <n v="0.25"/>
    <n v="22.83678387962"/>
    <n v="53"/>
    <s v="Slow prep time"/>
    <x v="1"/>
    <n v="2"/>
    <s v="72 hours"/>
    <s v="Reduce prep time and cancellations via menu availability and staffing playbook"/>
    <s v="Operational audit: hours, menu cleanup, fulfillment consistency"/>
    <s v="Track prep time change and cancel reduction week over week"/>
    <m/>
    <m/>
    <m/>
    <n v="2"/>
    <m/>
  </r>
  <r>
    <s v="M0129"/>
    <d v="2026-01-05T00:00:00"/>
    <x v="5"/>
    <x v="0"/>
    <n v="233"/>
    <n v="10330.870000000001"/>
    <n v="797"/>
    <n v="1.3990000000000001E-2"/>
    <n v="5.5789999999999999E-2"/>
    <n v="2.146E-2"/>
    <n v="42.55"/>
    <n v="4.6100000000000003"/>
    <n v="57.19"/>
    <n v="0.10730000000000001"/>
    <n v="19.382102640319999"/>
    <n v="53"/>
    <s v="Slow prep time"/>
    <x v="1"/>
    <n v="2"/>
    <s v="72 hours"/>
    <s v="Reduce prep time and cancellations via menu availability and staffing playbook"/>
    <s v="Operational audit: hours, menu cleanup, fulfillment consistency"/>
    <s v="Track prep time change and cancel reduction week over week"/>
    <m/>
    <m/>
    <m/>
    <n v="2"/>
    <m/>
  </r>
  <r>
    <s v="M0196"/>
    <d v="2026-01-05T00:00:00"/>
    <x v="4"/>
    <x v="5"/>
    <n v="257"/>
    <n v="3641.05"/>
    <n v="850"/>
    <n v="1.4319999999999999E-2"/>
    <n v="5.058E-2"/>
    <n v="3.1130000000000001E-2"/>
    <n v="22.92"/>
    <n v="4.2699999999999996"/>
    <n v="36.08"/>
    <n v="7.0040000000000005E-2"/>
    <n v="7.0680482261600002"/>
    <n v="53"/>
    <s v="High refunds"/>
    <x v="2"/>
    <n v="3"/>
    <s v="1 week"/>
    <s v="Cap spend, tighten targeting, reset campaigns with ROAS guardrails"/>
    <s v="Shift budget to top items and retarget high intent customers"/>
    <s v="Track ROAS lift and adoption efficiency weekly"/>
    <m/>
    <m/>
    <m/>
    <n v="3"/>
    <m/>
  </r>
  <r>
    <s v="M0010"/>
    <d v="2026-01-05T00:00:00"/>
    <x v="8"/>
    <x v="4"/>
    <n v="292"/>
    <n v="7844.87"/>
    <n v="982"/>
    <n v="-6.3869999999999996E-2"/>
    <n v="4.1099999999999998E-2"/>
    <n v="2.7400000000000001E-2"/>
    <n v="28.11"/>
    <n v="4.68"/>
    <n v="113.07"/>
    <n v="0.16780999999999999"/>
    <n v="11.64264311488"/>
    <n v="53"/>
    <s v="Low ROAS"/>
    <x v="2"/>
    <n v="3"/>
    <s v="1 week"/>
    <s v="Cap spend, tighten targeting, reset campaigns with ROAS guardrails"/>
    <s v="Shift budget to top items and retarget high intent customers"/>
    <s v="Track ROAS lift and adoption efficiency weekly"/>
    <m/>
    <m/>
    <m/>
    <n v="3"/>
    <m/>
  </r>
  <r>
    <s v="M0148"/>
    <d v="2026-01-05T00:00:00"/>
    <x v="5"/>
    <x v="5"/>
    <n v="214"/>
    <n v="3328.45"/>
    <n v="852"/>
    <n v="-0.12255000000000001"/>
    <n v="4.6730000000000001E-2"/>
    <n v="2.3359999999999999E-2"/>
    <n v="25.49"/>
    <n v="4.71"/>
    <n v="15.01"/>
    <n v="0.10748000000000001"/>
    <n v="23.832819120589999"/>
    <n v="53"/>
    <s v="Stable"/>
    <x v="3"/>
    <n v="5"/>
    <s v="2 weeks"/>
    <s v="Maintain baseline reporting and test small promos or ads"/>
    <s v="Run a cohort test and compare lift vs control"/>
    <s v="Monitor KPIs and investigate outliers"/>
    <m/>
    <m/>
    <m/>
    <n v="5"/>
    <m/>
  </r>
  <r>
    <s v="M0013"/>
    <d v="2026-01-05T00:00:00"/>
    <x v="1"/>
    <x v="2"/>
    <n v="88"/>
    <n v="1424.33"/>
    <n v="336"/>
    <n v="-6.9250000000000006E-2"/>
    <n v="3.4090000000000002E-2"/>
    <n v="2.273E-2"/>
    <n v="28.63"/>
    <n v="4.47"/>
    <n v="29.67"/>
    <n v="0.14773"/>
    <n v="7.0917554432100003"/>
    <n v="53"/>
    <s v="Low ROAS"/>
    <x v="3"/>
    <n v="5"/>
    <s v="2 weeks"/>
    <s v="Maintain baseline reporting and test small promos or ads"/>
    <s v="Run a cohort test and compare lift vs control"/>
    <s v="Monitor KPIs and investigate outliers"/>
    <m/>
    <m/>
    <m/>
    <n v="5"/>
    <m/>
  </r>
  <r>
    <s v="M0085"/>
    <d v="2026-01-05T00:00:00"/>
    <x v="8"/>
    <x v="2"/>
    <n v="149"/>
    <n v="2859.01"/>
    <n v="639"/>
    <n v="-0.13414999999999999"/>
    <n v="3.356E-2"/>
    <n v="2.0129999999999999E-2"/>
    <n v="29.12"/>
    <n v="4.88"/>
    <n v="33.65"/>
    <n v="0.16106999999999999"/>
    <n v="13.685339910850001"/>
    <n v="53"/>
    <s v="Declining orders"/>
    <x v="3"/>
    <n v="5"/>
    <s v="2 weeks"/>
    <s v="Maintain baseline reporting and test small promos or ads"/>
    <s v="Run a cohort test and compare lift vs control"/>
    <s v="Monitor KPIs and investigate outliers"/>
    <m/>
    <m/>
    <m/>
    <n v="5"/>
    <m/>
  </r>
  <r>
    <s v="M0032"/>
    <d v="2026-01-05T00:00:00"/>
    <x v="9"/>
    <x v="4"/>
    <n v="206"/>
    <n v="6022.37"/>
    <n v="820"/>
    <n v="-8.1750000000000003E-2"/>
    <n v="4.854E-2"/>
    <n v="2.427E-2"/>
    <n v="28.21"/>
    <n v="4.74"/>
    <n v="51.94"/>
    <n v="0.1699"/>
    <n v="19.700004043130001"/>
    <n v="53"/>
    <s v="Stable"/>
    <x v="3"/>
    <n v="5"/>
    <s v="2 weeks"/>
    <s v="Maintain baseline reporting and test small promos or ads"/>
    <s v="Run a cohort test and compare lift vs control"/>
    <s v="Monitor KPIs and investigate outliers"/>
    <m/>
    <m/>
    <m/>
    <n v="5"/>
    <m/>
  </r>
  <r>
    <s v="M0185"/>
    <d v="2026-01-05T00:00:00"/>
    <x v="2"/>
    <x v="1"/>
    <n v="146"/>
    <n v="5051.83"/>
    <n v="553"/>
    <n v="3.1719999999999998E-2"/>
    <n v="6.164E-2"/>
    <n v="2.7400000000000001E-2"/>
    <n v="28.47"/>
    <n v="4.63"/>
    <n v="41.12"/>
    <n v="0.13699"/>
    <n v="16.829559824899999"/>
    <n v="54"/>
    <s v="High cancellations"/>
    <x v="1"/>
    <n v="2"/>
    <s v="72 hours"/>
    <s v="Reduce prep time and cancellations via menu availability and staffing playbook"/>
    <s v="Operational audit: hours, menu cleanup, fulfillment consistency"/>
    <s v="Track prep time change and cancel reduction week over week"/>
    <m/>
    <m/>
    <m/>
    <n v="2"/>
    <m/>
  </r>
  <r>
    <s v="M0138"/>
    <d v="2026-01-05T00:00:00"/>
    <x v="3"/>
    <x v="1"/>
    <n v="273"/>
    <n v="8185.63"/>
    <n v="1033"/>
    <n v="-5.4030000000000002E-2"/>
    <n v="5.8610000000000002E-2"/>
    <n v="1.8319999999999999E-2"/>
    <n v="27.54"/>
    <n v="4.6399999999999997"/>
    <n v="80.680000000000007"/>
    <n v="0.19414000000000001"/>
    <n v="19.69697110808"/>
    <n v="54"/>
    <s v="High cancellations"/>
    <x v="1"/>
    <n v="2"/>
    <s v="72 hours"/>
    <s v="Reduce prep time and cancellations via menu availability and staffing playbook"/>
    <s v="Operational audit: hours, menu cleanup, fulfillment consistency"/>
    <s v="Track prep time change and cancel reduction week over week"/>
    <m/>
    <m/>
    <m/>
    <n v="2"/>
    <m/>
  </r>
  <r>
    <s v="M0044"/>
    <d v="2026-01-05T00:00:00"/>
    <x v="2"/>
    <x v="2"/>
    <n v="157"/>
    <n v="2876.87"/>
    <n v="609"/>
    <n v="-0.11994"/>
    <n v="4.4589999999999998E-2"/>
    <n v="2.5479999999999999E-2"/>
    <n v="22.8"/>
    <n v="4.78"/>
    <n v="27.19"/>
    <n v="0.17834"/>
    <n v="18.869892019120002"/>
    <n v="54"/>
    <s v="Stable"/>
    <x v="3"/>
    <n v="5"/>
    <s v="2 weeks"/>
    <s v="Maintain baseline reporting and test small promos or ads"/>
    <s v="Run a cohort test and compare lift vs control"/>
    <s v="Monitor KPIs and investigate outliers"/>
    <m/>
    <m/>
    <m/>
    <n v="5"/>
    <m/>
  </r>
  <r>
    <s v="M0173"/>
    <d v="2026-01-05T00:00:00"/>
    <x v="9"/>
    <x v="4"/>
    <n v="312"/>
    <n v="8796.2800000000007"/>
    <n v="1129"/>
    <n v="-7.3069999999999996E-2"/>
    <n v="4.8079999999999998E-2"/>
    <n v="1.9230000000000001E-2"/>
    <n v="32.92"/>
    <n v="4.8099999999999996"/>
    <n v="111.96"/>
    <n v="0.21795"/>
    <n v="17.123418542340001"/>
    <n v="54"/>
    <s v="Stable"/>
    <x v="3"/>
    <n v="5"/>
    <s v="2 weeks"/>
    <s v="Maintain baseline reporting and test small promos or ads"/>
    <s v="Run a cohort test and compare lift vs control"/>
    <s v="Monitor KPIs and investigate outliers"/>
    <m/>
    <m/>
    <m/>
    <n v="5"/>
    <m/>
  </r>
  <r>
    <s v="M0079"/>
    <d v="2026-01-05T00:00:00"/>
    <x v="9"/>
    <x v="1"/>
    <n v="271"/>
    <n v="9884.35"/>
    <n v="1064"/>
    <n v="2.7029999999999998E-2"/>
    <n v="6.6420000000000007E-2"/>
    <n v="2.5829999999999999E-2"/>
    <n v="32.39"/>
    <n v="4.75"/>
    <n v="33.67"/>
    <n v="0.13653000000000001"/>
    <n v="40.080896703299999"/>
    <n v="55"/>
    <s v="High cancellations"/>
    <x v="1"/>
    <n v="2"/>
    <s v="72 hours"/>
    <s v="Reduce prep time and cancellations via menu availability and staffing playbook"/>
    <s v="Operational audit: hours, menu cleanup, fulfillment consistency"/>
    <s v="Track prep time change and cancel reduction week over week"/>
    <m/>
    <m/>
    <m/>
    <n v="2"/>
    <m/>
  </r>
  <r>
    <s v="M0100"/>
    <d v="2026-01-05T00:00:00"/>
    <x v="5"/>
    <x v="0"/>
    <n v="212"/>
    <n v="9869.1299999999992"/>
    <n v="790"/>
    <n v="6.3699999999999998E-3"/>
    <n v="5.1889999999999999E-2"/>
    <n v="2.358E-2"/>
    <n v="43.24"/>
    <n v="4.79"/>
    <n v="63.01"/>
    <n v="0.12264"/>
    <n v="19.209093794640001"/>
    <n v="55"/>
    <s v="Slow prep time"/>
    <x v="1"/>
    <n v="2"/>
    <s v="72 hours"/>
    <s v="Reduce prep time and cancellations via menu availability and staffing playbook"/>
    <s v="Operational audit: hours, menu cleanup, fulfillment consistency"/>
    <s v="Track prep time change and cancel reduction week over week"/>
    <m/>
    <m/>
    <m/>
    <n v="2"/>
    <m/>
  </r>
  <r>
    <s v="M0192"/>
    <d v="2026-01-05T00:00:00"/>
    <x v="1"/>
    <x v="2"/>
    <n v="93"/>
    <n v="1836.71"/>
    <n v="383"/>
    <n v="-0.14318"/>
    <n v="3.2259999999999997E-2"/>
    <n v="2.1510000000000001E-2"/>
    <n v="25.48"/>
    <n v="4.9400000000000004"/>
    <n v="10.42"/>
    <n v="7.5270000000000004E-2"/>
    <n v="13.26746545106"/>
    <n v="55"/>
    <s v="Declining orders"/>
    <x v="4"/>
    <n v="4"/>
    <s v="1 week"/>
    <s v="Upsell ads with a clear ROI story and onboarding checklist"/>
    <s v="Launch starter ads package and track incremental orders weekly"/>
    <s v="Track adoption, spend, and repeat rate"/>
    <m/>
    <m/>
    <m/>
    <n v="4"/>
    <m/>
  </r>
  <r>
    <s v="M0082"/>
    <d v="2026-01-05T00:00:00"/>
    <x v="0"/>
    <x v="3"/>
    <n v="288"/>
    <n v="5678.32"/>
    <n v="957"/>
    <n v="-0.12121"/>
    <n v="3.8190000000000002E-2"/>
    <n v="1.736E-2"/>
    <n v="29.93"/>
    <n v="4.6100000000000003"/>
    <n v="24.38"/>
    <n v="0.10764"/>
    <n v="25.07005984413"/>
    <n v="55"/>
    <s v="Stable"/>
    <x v="3"/>
    <n v="5"/>
    <s v="2 weeks"/>
    <s v="Maintain baseline reporting and test small promos or ads"/>
    <s v="Run a cohort test and compare lift vs control"/>
    <s v="Monitor KPIs and investigate outliers"/>
    <m/>
    <m/>
    <m/>
    <n v="5"/>
    <m/>
  </r>
  <r>
    <s v="M0146"/>
    <d v="2026-01-05T00:00:00"/>
    <x v="3"/>
    <x v="4"/>
    <n v="121"/>
    <n v="2955.01"/>
    <n v="508"/>
    <n v="3.4619999999999998E-2"/>
    <n v="4.9590000000000002E-2"/>
    <n v="2.479E-2"/>
    <n v="37.14"/>
    <n v="4.3099999999999996"/>
    <n v="18.57"/>
    <n v="0.14050000000000001"/>
    <n v="22.356849219170002"/>
    <n v="56"/>
    <s v="Slow prep time"/>
    <x v="1"/>
    <n v="2"/>
    <s v="72 hours"/>
    <s v="Reduce prep time and cancellations via menu availability and staffing playbook"/>
    <s v="Operational audit: hours, menu cleanup, fulfillment consistency"/>
    <s v="Track prep time change and cancel reduction week over week"/>
    <m/>
    <m/>
    <m/>
    <n v="2"/>
    <m/>
  </r>
  <r>
    <s v="M0073"/>
    <d v="2026-01-05T00:00:00"/>
    <x v="1"/>
    <x v="1"/>
    <n v="173"/>
    <n v="6220.25"/>
    <n v="633"/>
    <n v="-4.5249999999999999E-2"/>
    <n v="6.9360000000000005E-2"/>
    <n v="2.3120000000000002E-2"/>
    <n v="23.69"/>
    <n v="4.76"/>
    <n v="45.36"/>
    <n v="0.19653000000000001"/>
    <n v="26.95054823633"/>
    <n v="56"/>
    <s v="High cancellations"/>
    <x v="1"/>
    <n v="2"/>
    <s v="72 hours"/>
    <s v="Reduce prep time and cancellations via menu availability and staffing playbook"/>
    <s v="Operational audit: hours, menu cleanup, fulfillment consistency"/>
    <s v="Track prep time change and cancel reduction week over week"/>
    <m/>
    <m/>
    <m/>
    <n v="2"/>
    <m/>
  </r>
  <r>
    <s v="M0145"/>
    <d v="2026-01-05T00:00:00"/>
    <x v="8"/>
    <x v="2"/>
    <n v="274"/>
    <n v="4835.83"/>
    <n v="987"/>
    <n v="-6.268E-2"/>
    <n v="5.1090000000000003E-2"/>
    <n v="2.1899999999999999E-2"/>
    <n v="23.51"/>
    <n v="4.67"/>
    <n v="82.29"/>
    <n v="0.21898000000000001"/>
    <n v="12.868403208169999"/>
    <n v="56"/>
    <s v="Stable"/>
    <x v="2"/>
    <n v="3"/>
    <s v="1 week"/>
    <s v="Cap spend, tighten targeting, reset campaigns with ROAS guardrails"/>
    <s v="Shift budget to top items and retarget high intent customers"/>
    <s v="Track ROAS lift and adoption efficiency weekly"/>
    <m/>
    <m/>
    <m/>
    <n v="3"/>
    <m/>
  </r>
  <r>
    <s v="M0135"/>
    <d v="2026-01-05T00:00:00"/>
    <x v="4"/>
    <x v="3"/>
    <n v="127"/>
    <n v="3130.96"/>
    <n v="538"/>
    <n v="-0.10631"/>
    <n v="3.9370000000000002E-2"/>
    <n v="2.3619999999999999E-2"/>
    <n v="27.46"/>
    <n v="4.8899999999999997"/>
    <n v="23.18"/>
    <n v="0.11024"/>
    <n v="14.88978395168"/>
    <n v="56"/>
    <s v="Stable"/>
    <x v="4"/>
    <n v="4"/>
    <s v="1 week"/>
    <s v="Upsell ads with a clear ROI story and onboarding checklist"/>
    <s v="Launch starter ads package and track incremental orders weekly"/>
    <s v="Track adoption, spend, and repeat rate"/>
    <m/>
    <m/>
    <m/>
    <n v="4"/>
    <m/>
  </r>
  <r>
    <s v="M0072"/>
    <d v="2026-01-05T00:00:00"/>
    <x v="3"/>
    <x v="1"/>
    <n v="97"/>
    <n v="2832.09"/>
    <n v="367"/>
    <n v="-0.10488"/>
    <n v="5.1549999999999999E-2"/>
    <n v="2.0619999999999999E-2"/>
    <n v="21.46"/>
    <n v="4.62"/>
    <n v="18.39"/>
    <n v="0.15464"/>
    <n v="23.814685154980001"/>
    <n v="56"/>
    <s v="Stable"/>
    <x v="3"/>
    <n v="5"/>
    <s v="2 weeks"/>
    <s v="Maintain baseline reporting and test small promos or ads"/>
    <s v="Run a cohort test and compare lift vs control"/>
    <s v="Monitor KPIs and investigate outliers"/>
    <m/>
    <m/>
    <m/>
    <n v="5"/>
    <m/>
  </r>
  <r>
    <s v="M0110"/>
    <d v="2026-01-05T00:00:00"/>
    <x v="9"/>
    <x v="4"/>
    <n v="172"/>
    <n v="4969.1499999999996"/>
    <n v="688"/>
    <n v="-8.8739999999999999E-2"/>
    <n v="5.2330000000000002E-2"/>
    <n v="1.7440000000000001E-2"/>
    <n v="27.73"/>
    <n v="4.76"/>
    <n v="48.18"/>
    <n v="0.23255999999999999"/>
    <n v="23.985393939390001"/>
    <n v="56"/>
    <s v="Stable"/>
    <x v="3"/>
    <n v="5"/>
    <s v="2 weeks"/>
    <s v="Maintain baseline reporting and test small promos or ads"/>
    <s v="Run a cohort test and compare lift vs control"/>
    <s v="Monitor KPIs and investigate outliers"/>
    <m/>
    <m/>
    <m/>
    <n v="5"/>
    <m/>
  </r>
  <r>
    <s v="M0037"/>
    <d v="2026-01-05T00:00:00"/>
    <x v="4"/>
    <x v="3"/>
    <n v="240"/>
    <n v="5546.11"/>
    <n v="966"/>
    <n v="-0.22409999999999999"/>
    <n v="3.7499999999999999E-2"/>
    <n v="2.5000000000000001E-2"/>
    <n v="22.51"/>
    <n v="4.93"/>
    <n v="11.14"/>
    <n v="0.12083000000000001"/>
    <n v="60.157537522440002"/>
    <n v="57"/>
    <s v="Declining orders"/>
    <x v="4"/>
    <n v="4"/>
    <s v="1 week"/>
    <s v="Upsell ads with a clear ROI story and onboarding checklist"/>
    <s v="Launch starter ads package and track incremental orders weekly"/>
    <s v="Track adoption, spend, and repeat rate"/>
    <m/>
    <m/>
    <m/>
    <n v="4"/>
    <m/>
  </r>
  <r>
    <s v="M0200"/>
    <d v="2026-01-05T00:00:00"/>
    <x v="1"/>
    <x v="2"/>
    <n v="188"/>
    <n v="2952.54"/>
    <n v="646"/>
    <n v="-0.16428999999999999"/>
    <n v="2.128E-2"/>
    <n v="1.5959999999999998E-2"/>
    <n v="22.13"/>
    <n v="4.72"/>
    <n v="23.1"/>
    <n v="7.979E-2"/>
    <n v="10.198051948050001"/>
    <n v="57"/>
    <s v="Low ROAS"/>
    <x v="3"/>
    <n v="5"/>
    <s v="2 weeks"/>
    <s v="Maintain baseline reporting and test small promos or ads"/>
    <s v="Run a cohort test and compare lift vs control"/>
    <s v="Monitor KPIs and investigate outliers"/>
    <m/>
    <m/>
    <m/>
    <n v="5"/>
    <m/>
  </r>
  <r>
    <s v="M0069"/>
    <d v="2026-01-05T00:00:00"/>
    <x v="7"/>
    <x v="3"/>
    <n v="187"/>
    <n v="4641"/>
    <n v="701"/>
    <n v="6.6970000000000002E-2"/>
    <n v="6.4170000000000005E-2"/>
    <n v="3.209E-2"/>
    <n v="27.98"/>
    <n v="4.66"/>
    <n v="11.16"/>
    <n v="0.12834000000000001"/>
    <n v="53.3724344086"/>
    <n v="58"/>
    <s v="High cancellations"/>
    <x v="1"/>
    <n v="2"/>
    <s v="72 hours"/>
    <s v="Reduce prep time and cancellations via menu availability and staffing playbook"/>
    <s v="Operational audit: hours, menu cleanup, fulfillment consistency"/>
    <s v="Track prep time change and cancel reduction week over week"/>
    <m/>
    <m/>
    <m/>
    <n v="2"/>
    <m/>
  </r>
  <r>
    <s v="M0061"/>
    <d v="2026-01-05T00:00:00"/>
    <x v="4"/>
    <x v="0"/>
    <n v="170"/>
    <n v="6631.02"/>
    <n v="661"/>
    <n v="-4.0640000000000003E-2"/>
    <n v="4.7059999999999998E-2"/>
    <n v="1.7649999999999999E-2"/>
    <n v="42.75"/>
    <n v="4.59"/>
    <n v="26.05"/>
    <n v="0.1"/>
    <n v="25.454971209210001"/>
    <n v="58"/>
    <s v="Slow prep time"/>
    <x v="1"/>
    <n v="2"/>
    <s v="72 hours"/>
    <s v="Reduce prep time and cancellations via menu availability and staffing playbook"/>
    <s v="Operational audit: hours, menu cleanup, fulfillment consistency"/>
    <s v="Track prep time change and cancel reduction week over week"/>
    <m/>
    <m/>
    <m/>
    <n v="2"/>
    <m/>
  </r>
  <r>
    <s v="M0036"/>
    <d v="2026-01-05T00:00:00"/>
    <x v="5"/>
    <x v="0"/>
    <n v="155"/>
    <n v="7761.78"/>
    <n v="561"/>
    <n v="-7.8820000000000001E-2"/>
    <n v="5.1610000000000003E-2"/>
    <n v="1.29E-2"/>
    <n v="42.65"/>
    <n v="5"/>
    <n v="27.87"/>
    <n v="0.13547999999999999"/>
    <n v="37.732185145320003"/>
    <n v="58"/>
    <s v="Slow prep time"/>
    <x v="1"/>
    <n v="2"/>
    <s v="72 hours"/>
    <s v="Reduce prep time and cancellations via menu availability and staffing playbook"/>
    <s v="Operational audit: hours, menu cleanup, fulfillment consistency"/>
    <s v="Track prep time change and cancel reduction week over week"/>
    <m/>
    <m/>
    <m/>
    <n v="2"/>
    <m/>
  </r>
  <r>
    <s v="M0150"/>
    <d v="2026-01-05T00:00:00"/>
    <x v="3"/>
    <x v="4"/>
    <n v="95"/>
    <n v="2536.31"/>
    <n v="377"/>
    <n v="-8.7169999999999997E-2"/>
    <n v="3.1579999999999997E-2"/>
    <n v="2.1049999999999999E-2"/>
    <n v="28.94"/>
    <n v="4.6399999999999997"/>
    <n v="14.49"/>
    <n v="9.4740000000000005E-2"/>
    <n v="16.582608695649999"/>
    <n v="58"/>
    <s v="Stable"/>
    <x v="3"/>
    <n v="5"/>
    <s v="2 weeks"/>
    <s v="Maintain baseline reporting and test small promos or ads"/>
    <s v="Run a cohort test and compare lift vs control"/>
    <s v="Monitor KPIs and investigate outliers"/>
    <m/>
    <m/>
    <m/>
    <n v="5"/>
    <m/>
  </r>
  <r>
    <s v="M0126"/>
    <d v="2026-01-05T00:00:00"/>
    <x v="8"/>
    <x v="4"/>
    <n v="238"/>
    <n v="6364.12"/>
    <n v="982"/>
    <n v="-3.7249999999999998E-2"/>
    <n v="3.7819999999999999E-2"/>
    <n v="2.1010000000000001E-2"/>
    <n v="30.37"/>
    <n v="4.57"/>
    <n v="53.65"/>
    <n v="9.6640000000000004E-2"/>
    <n v="11.46356011184"/>
    <n v="59"/>
    <s v="Low ROAS"/>
    <x v="2"/>
    <n v="3"/>
    <s v="1 week"/>
    <s v="Cap spend, tighten targeting, reset campaigns with ROAS guardrails"/>
    <s v="Shift budget to top items and retarget high intent customers"/>
    <s v="Track ROAS lift and adoption efficiency weekly"/>
    <m/>
    <m/>
    <m/>
    <n v="3"/>
    <m/>
  </r>
  <r>
    <s v="M0189"/>
    <d v="2026-01-05T00:00:00"/>
    <x v="5"/>
    <x v="5"/>
    <n v="274"/>
    <n v="3946.01"/>
    <n v="1051"/>
    <n v="1.155E-2"/>
    <n v="4.7449999999999999E-2"/>
    <n v="2.92E-2"/>
    <n v="21.68"/>
    <n v="4.49"/>
    <n v="63.69"/>
    <n v="0.12044000000000001"/>
    <n v="7.4619150259099998"/>
    <n v="59"/>
    <s v="Low ROAS"/>
    <x v="2"/>
    <n v="3"/>
    <s v="1 week"/>
    <s v="Cap spend, tighten targeting, reset campaigns with ROAS guardrails"/>
    <s v="Shift budget to top items and retarget high intent customers"/>
    <s v="Track ROAS lift and adoption efficiency weekly"/>
    <m/>
    <m/>
    <m/>
    <n v="3"/>
    <m/>
  </r>
  <r>
    <s v="M0117"/>
    <d v="2026-01-05T00:00:00"/>
    <x v="7"/>
    <x v="3"/>
    <n v="218"/>
    <n v="4669.3900000000003"/>
    <n v="806"/>
    <n v="-0.12391000000000001"/>
    <n v="3.6700000000000003E-2"/>
    <n v="1.376E-2"/>
    <n v="28.96"/>
    <n v="4.8499999999999996"/>
    <n v="35.74"/>
    <n v="0.14679"/>
    <n v="19.177813094569998"/>
    <n v="59"/>
    <s v="Declining orders"/>
    <x v="4"/>
    <n v="4"/>
    <s v="1 week"/>
    <s v="Upsell ads with a clear ROI story and onboarding checklist"/>
    <s v="Launch starter ads package and track incremental orders weekly"/>
    <s v="Track adoption, spend, and repeat rate"/>
    <m/>
    <m/>
    <m/>
    <n v="4"/>
    <m/>
  </r>
  <r>
    <s v="M0087"/>
    <d v="2026-01-05T00:00:00"/>
    <x v="3"/>
    <x v="1"/>
    <n v="159"/>
    <n v="4851.41"/>
    <n v="708"/>
    <n v="-8.8800000000000004E-2"/>
    <n v="4.403E-2"/>
    <n v="1.8870000000000001E-2"/>
    <n v="29.43"/>
    <n v="4.71"/>
    <n v="9.0500000000000007"/>
    <n v="8.1759999999999999E-2"/>
    <n v="43.829410939230002"/>
    <n v="59"/>
    <s v="Stable"/>
    <x v="3"/>
    <n v="5"/>
    <s v="2 weeks"/>
    <s v="Maintain baseline reporting and test small promos or ads"/>
    <s v="Run a cohort test and compare lift vs control"/>
    <s v="Monitor KPIs and investigate outliers"/>
    <m/>
    <m/>
    <m/>
    <n v="5"/>
    <m/>
  </r>
  <r>
    <s v="M0035"/>
    <d v="2026-01-05T00:00:00"/>
    <x v="6"/>
    <x v="0"/>
    <n v="135"/>
    <n v="5639.42"/>
    <n v="503"/>
    <n v="-7.0239999999999997E-2"/>
    <n v="4.444E-2"/>
    <n v="1.481E-2"/>
    <n v="40.14"/>
    <n v="4.76"/>
    <n v="26.15"/>
    <n v="0.14815"/>
    <n v="31.949125047799999"/>
    <n v="60"/>
    <s v="Slow prep time"/>
    <x v="1"/>
    <n v="2"/>
    <s v="72 hours"/>
    <s v="Reduce prep time and cancellations via menu availability and staffing playbook"/>
    <s v="Operational audit: hours, menu cleanup, fulfillment consistency"/>
    <s v="Track prep time change and cancel reduction week over week"/>
    <m/>
    <m/>
    <m/>
    <n v="2"/>
    <m/>
  </r>
  <r>
    <s v="M0111"/>
    <d v="2026-01-05T00:00:00"/>
    <x v="2"/>
    <x v="2"/>
    <n v="99"/>
    <n v="1979.8"/>
    <n v="371"/>
    <n v="-0.125"/>
    <n v="4.0399999999999998E-2"/>
    <n v="2.0199999999999999E-2"/>
    <n v="25.59"/>
    <n v="4.99"/>
    <n v="18.95"/>
    <n v="0.20202000000000001"/>
    <n v="21.106047493399998"/>
    <n v="60"/>
    <s v="Declining orders"/>
    <x v="3"/>
    <n v="5"/>
    <s v="2 weeks"/>
    <s v="Maintain baseline reporting and test small promos or ads"/>
    <s v="Run a cohort test and compare lift vs control"/>
    <s v="Monitor KPIs and investigate outliers"/>
    <m/>
    <m/>
    <m/>
    <n v="5"/>
    <m/>
  </r>
  <r>
    <s v="M0025"/>
    <d v="2026-01-05T00:00:00"/>
    <x v="1"/>
    <x v="2"/>
    <n v="266"/>
    <n v="5305.1"/>
    <n v="987"/>
    <n v="-0.19428999999999999"/>
    <n v="3.7589999999999998E-2"/>
    <n v="1.8800000000000001E-2"/>
    <n v="23.13"/>
    <n v="5"/>
    <n v="24.71"/>
    <n v="0.15038000000000001"/>
    <n v="32.284880615139997"/>
    <n v="60"/>
    <s v="Declining orders"/>
    <x v="3"/>
    <n v="5"/>
    <s v="2 weeks"/>
    <s v="Maintain baseline reporting and test small promos or ads"/>
    <s v="Run a cohort test and compare lift vs control"/>
    <s v="Monitor KPIs and investigate outliers"/>
    <m/>
    <m/>
    <m/>
    <n v="5"/>
    <m/>
  </r>
  <r>
    <s v="M0149"/>
    <d v="2026-01-05T00:00:00"/>
    <x v="0"/>
    <x v="5"/>
    <n v="177"/>
    <n v="2383.39"/>
    <n v="674"/>
    <n v="7.6679999999999998E-2"/>
    <n v="4.5199999999999997E-2"/>
    <n v="2.2599999999999999E-2"/>
    <n v="29.2"/>
    <n v="4.49"/>
    <n v="59.72"/>
    <n v="0.17513999999999999"/>
    <n v="6.9897836570700003"/>
    <n v="61"/>
    <s v="Low ROAS"/>
    <x v="2"/>
    <n v="3"/>
    <s v="1 week"/>
    <s v="Cap spend, tighten targeting, reset campaigns with ROAS guardrails"/>
    <s v="Shift budget to top items and retarget high intent customers"/>
    <s v="Track ROAS lift and adoption efficiency weekly"/>
    <m/>
    <m/>
    <m/>
    <n v="3"/>
    <m/>
  </r>
  <r>
    <s v="M0058"/>
    <d v="2026-01-05T00:00:00"/>
    <x v="9"/>
    <x v="1"/>
    <n v="318"/>
    <n v="9031.2000000000007"/>
    <n v="995"/>
    <n v="-8.4640000000000007E-2"/>
    <n v="5.0310000000000001E-2"/>
    <n v="1.5720000000000001E-2"/>
    <n v="27.91"/>
    <n v="4.72"/>
    <n v="41.08"/>
    <n v="0.16037999999999999"/>
    <n v="35.25803310613"/>
    <n v="61"/>
    <s v="Stable"/>
    <x v="3"/>
    <n v="5"/>
    <s v="2 weeks"/>
    <s v="Maintain baseline reporting and test small promos or ads"/>
    <s v="Run a cohort test and compare lift vs control"/>
    <s v="Monitor KPIs and investigate outliers"/>
    <m/>
    <m/>
    <m/>
    <n v="5"/>
    <m/>
  </r>
  <r>
    <s v="M0152"/>
    <d v="2026-01-05T00:00:00"/>
    <x v="9"/>
    <x v="4"/>
    <n v="222"/>
    <n v="5760.99"/>
    <n v="787"/>
    <n v="-2.478E-2"/>
    <n v="4.9549999999999997E-2"/>
    <n v="1.8020000000000001E-2"/>
    <n v="29.08"/>
    <n v="4.57"/>
    <n v="42.91"/>
    <n v="0.16216"/>
    <n v="21.771488697270001"/>
    <n v="61"/>
    <s v="Stable"/>
    <x v="3"/>
    <n v="5"/>
    <s v="2 weeks"/>
    <s v="Maintain baseline reporting and test small promos or ads"/>
    <s v="Run a cohort test and compare lift vs control"/>
    <s v="Monitor KPIs and investigate outliers"/>
    <m/>
    <m/>
    <m/>
    <n v="5"/>
    <m/>
  </r>
  <r>
    <s v="M0109"/>
    <d v="2026-01-05T00:00:00"/>
    <x v="4"/>
    <x v="3"/>
    <n v="251"/>
    <n v="5237.0600000000004"/>
    <n v="935"/>
    <n v="-8.3330000000000001E-2"/>
    <n v="4.7809999999999998E-2"/>
    <n v="1.992E-2"/>
    <n v="26.74"/>
    <n v="4.68"/>
    <n v="12.72"/>
    <n v="0.15139"/>
    <n v="62.331892924530003"/>
    <n v="62"/>
    <s v="Stable"/>
    <x v="3"/>
    <n v="5"/>
    <s v="2 weeks"/>
    <s v="Maintain baseline reporting and test small promos or ads"/>
    <s v="Run a cohort test and compare lift vs control"/>
    <s v="Monitor KPIs and investigate outliers"/>
    <m/>
    <m/>
    <m/>
    <n v="5"/>
    <m/>
  </r>
  <r>
    <s v="M0066"/>
    <d v="2026-01-05T00:00:00"/>
    <x v="9"/>
    <x v="2"/>
    <n v="183"/>
    <n v="2849.31"/>
    <n v="785"/>
    <n v="-0.12192"/>
    <n v="3.8249999999999999E-2"/>
    <n v="1.6389999999999998E-2"/>
    <n v="20.81"/>
    <n v="4.5999999999999996"/>
    <n v="24.27"/>
    <n v="0.16392999999999999"/>
    <n v="19.245982694679999"/>
    <n v="62"/>
    <s v="Stable"/>
    <x v="3"/>
    <n v="5"/>
    <s v="2 weeks"/>
    <s v="Maintain baseline reporting and test small promos or ads"/>
    <s v="Run a cohort test and compare lift vs control"/>
    <s v="Monitor KPIs and investigate outliers"/>
    <m/>
    <m/>
    <m/>
    <n v="5"/>
    <m/>
  </r>
  <r>
    <s v="M0122"/>
    <d v="2026-01-05T00:00:00"/>
    <x v="4"/>
    <x v="0"/>
    <n v="200"/>
    <n v="9758.7000000000007"/>
    <n v="810"/>
    <n v="-9.3960000000000002E-2"/>
    <n v="0.04"/>
    <n v="1.4999999999999999E-2"/>
    <n v="41.69"/>
    <n v="5"/>
    <n v="16.739999999999998"/>
    <n v="0.09"/>
    <n v="52.46612903226"/>
    <n v="63"/>
    <s v="Slow prep time"/>
    <x v="1"/>
    <n v="2"/>
    <s v="72 hours"/>
    <s v="Reduce prep time and cancellations via menu availability and staffing playbook"/>
    <s v="Operational audit: hours, menu cleanup, fulfillment consistency"/>
    <s v="Track prep time change and cancel reduction week over week"/>
    <m/>
    <m/>
    <m/>
    <n v="2"/>
    <m/>
  </r>
  <r>
    <s v="M0102"/>
    <d v="2026-01-05T00:00:00"/>
    <x v="6"/>
    <x v="0"/>
    <n v="117"/>
    <n v="6026.32"/>
    <n v="439"/>
    <n v="-1.3480000000000001E-2"/>
    <n v="5.1279999999999999E-2"/>
    <n v="1.7090000000000001E-2"/>
    <n v="43.25"/>
    <n v="4.9800000000000004"/>
    <n v="31.91"/>
    <n v="0.13675000000000001"/>
    <n v="25.82614052021"/>
    <n v="63"/>
    <s v="Slow prep time"/>
    <x v="1"/>
    <n v="2"/>
    <s v="72 hours"/>
    <s v="Reduce prep time and cancellations via menu availability and staffing playbook"/>
    <s v="Operational audit: hours, menu cleanup, fulfillment consistency"/>
    <s v="Track prep time change and cancel reduction week over week"/>
    <m/>
    <m/>
    <m/>
    <n v="2"/>
    <m/>
  </r>
  <r>
    <s v="M0068"/>
    <d v="2026-01-05T00:00:00"/>
    <x v="6"/>
    <x v="0"/>
    <n v="150"/>
    <n v="7177.28"/>
    <n v="565"/>
    <n v="2.1700000000000001E-2"/>
    <n v="5.3330000000000002E-2"/>
    <n v="1.333E-2"/>
    <n v="46.57"/>
    <n v="4.9000000000000004"/>
    <n v="57.55"/>
    <n v="0.18667"/>
    <n v="23.279911798440001"/>
    <n v="64"/>
    <s v="Slow prep time"/>
    <x v="1"/>
    <n v="2"/>
    <s v="72 hours"/>
    <s v="Reduce prep time and cancellations via menu availability and staffing playbook"/>
    <s v="Operational audit: hours, menu cleanup, fulfillment consistency"/>
    <s v="Track prep time change and cancel reduction week over week"/>
    <m/>
    <m/>
    <m/>
    <n v="2"/>
    <m/>
  </r>
  <r>
    <s v="M0078"/>
    <d v="2026-01-05T00:00:00"/>
    <x v="8"/>
    <x v="2"/>
    <n v="140"/>
    <n v="2521.5100000000002"/>
    <n v="620"/>
    <n v="-7.6009999999999994E-2"/>
    <n v="3.5709999999999999E-2"/>
    <n v="2.1430000000000001E-2"/>
    <n v="26.68"/>
    <n v="4.75"/>
    <n v="16.98"/>
    <n v="0.11429"/>
    <n v="16.9712942285"/>
    <n v="64"/>
    <s v="Stable"/>
    <x v="3"/>
    <n v="5"/>
    <s v="2 weeks"/>
    <s v="Maintain baseline reporting and test small promos or ads"/>
    <s v="Run a cohort test and compare lift vs control"/>
    <s v="Monitor KPIs and investigate outliers"/>
    <m/>
    <m/>
    <m/>
    <n v="5"/>
    <m/>
  </r>
  <r>
    <s v="M0096"/>
    <d v="2026-01-05T00:00:00"/>
    <x v="4"/>
    <x v="3"/>
    <n v="183"/>
    <n v="3451.09"/>
    <n v="700"/>
    <n v="-2.913E-2"/>
    <n v="4.3720000000000002E-2"/>
    <n v="1.6389999999999998E-2"/>
    <n v="32.5"/>
    <n v="4.53"/>
    <n v="22"/>
    <n v="0.15847"/>
    <n v="24.858819772730001"/>
    <n v="64"/>
    <s v="Stable"/>
    <x v="3"/>
    <n v="5"/>
    <s v="2 weeks"/>
    <s v="Maintain baseline reporting and test small promos or ads"/>
    <s v="Run a cohort test and compare lift vs control"/>
    <s v="Monitor KPIs and investigate outliers"/>
    <m/>
    <m/>
    <m/>
    <n v="5"/>
    <m/>
  </r>
  <r>
    <s v="M0188"/>
    <d v="2026-01-05T00:00:00"/>
    <x v="5"/>
    <x v="0"/>
    <n v="107"/>
    <n v="4495.7700000000004"/>
    <n v="404"/>
    <n v="3.5900000000000001E-2"/>
    <n v="4.6730000000000001E-2"/>
    <n v="1.8689999999999998E-2"/>
    <n v="44.97"/>
    <n v="4.76"/>
    <n v="35.22"/>
    <n v="0.14953"/>
    <n v="19.087582964220001"/>
    <n v="65"/>
    <s v="Slow prep time"/>
    <x v="1"/>
    <n v="2"/>
    <s v="72 hours"/>
    <s v="Reduce prep time and cancellations via menu availability and staffing playbook"/>
    <s v="Operational audit: hours, menu cleanup, fulfillment consistency"/>
    <s v="Track prep time change and cancel reduction week over week"/>
    <m/>
    <m/>
    <m/>
    <n v="2"/>
    <m/>
  </r>
  <r>
    <s v="M0176"/>
    <d v="2026-01-05T00:00:00"/>
    <x v="6"/>
    <x v="0"/>
    <n v="248"/>
    <n v="12753.65"/>
    <n v="825"/>
    <n v="-3.5090000000000003E-2"/>
    <n v="4.8390000000000002E-2"/>
    <n v="1.6129999999999999E-2"/>
    <n v="43.47"/>
    <n v="5"/>
    <n v="39.28"/>
    <n v="0.125"/>
    <n v="40.585698778000001"/>
    <n v="65"/>
    <s v="Slow prep time"/>
    <x v="1"/>
    <n v="2"/>
    <s v="72 hours"/>
    <s v="Reduce prep time and cancellations via menu availability and staffing playbook"/>
    <s v="Operational audit: hours, menu cleanup, fulfillment consistency"/>
    <s v="Track prep time change and cancel reduction week over week"/>
    <m/>
    <m/>
    <m/>
    <n v="2"/>
    <m/>
  </r>
  <r>
    <s v="M0017"/>
    <d v="2026-01-05T00:00:00"/>
    <x v="5"/>
    <x v="5"/>
    <n v="238"/>
    <n v="4044.45"/>
    <n v="1038"/>
    <n v="1.17E-2"/>
    <n v="5.042E-2"/>
    <n v="2.521E-2"/>
    <n v="24.15"/>
    <n v="4.79"/>
    <n v="53.35"/>
    <n v="0.16807"/>
    <n v="12.74113364574"/>
    <n v="65"/>
    <s v="Stable"/>
    <x v="2"/>
    <n v="3"/>
    <s v="1 week"/>
    <s v="Cap spend, tighten targeting, reset campaigns with ROAS guardrails"/>
    <s v="Shift budget to top items and retarget high intent customers"/>
    <s v="Track ROAS lift and adoption efficiency weekly"/>
    <m/>
    <m/>
    <m/>
    <n v="3"/>
    <m/>
  </r>
  <r>
    <s v="M0147"/>
    <d v="2026-01-05T00:00:00"/>
    <x v="3"/>
    <x v="2"/>
    <n v="161"/>
    <n v="3111.87"/>
    <n v="576"/>
    <n v="-5.1799999999999997E-3"/>
    <n v="4.3479999999999998E-2"/>
    <n v="2.4840000000000001E-2"/>
    <n v="25.86"/>
    <n v="4.76"/>
    <n v="65.16"/>
    <n v="0.17391000000000001"/>
    <n v="8.3056289134399996"/>
    <n v="65"/>
    <s v="Low ROAS"/>
    <x v="2"/>
    <n v="3"/>
    <s v="1 week"/>
    <s v="Cap spend, tighten targeting, reset campaigns with ROAS guardrails"/>
    <s v="Shift budget to top items and retarget high intent customers"/>
    <s v="Track ROAS lift and adoption efficiency weekly"/>
    <m/>
    <m/>
    <m/>
    <n v="3"/>
    <m/>
  </r>
  <r>
    <s v="M0190"/>
    <d v="2026-01-05T00:00:00"/>
    <x v="1"/>
    <x v="2"/>
    <n v="176"/>
    <n v="3142.34"/>
    <n v="667"/>
    <n v="-5.2560000000000003E-2"/>
    <n v="3.977E-2"/>
    <n v="1.7049999999999999E-2"/>
    <n v="30.23"/>
    <n v="4.82"/>
    <n v="25.65"/>
    <n v="0.14205000000000001"/>
    <n v="17.40175925926"/>
    <n v="65"/>
    <s v="Stable"/>
    <x v="4"/>
    <n v="4"/>
    <s v="1 week"/>
    <s v="Upsell ads with a clear ROI story and onboarding checklist"/>
    <s v="Launch starter ads package and track incremental orders weekly"/>
    <s v="Track adoption, spend, and repeat rate"/>
    <m/>
    <m/>
    <m/>
    <n v="4"/>
    <m/>
  </r>
  <r>
    <s v="M0113"/>
    <d v="2026-01-05T00:00:00"/>
    <x v="8"/>
    <x v="4"/>
    <n v="93"/>
    <n v="2481.35"/>
    <n v="382"/>
    <n v="-0.11369"/>
    <n v="4.301E-2"/>
    <n v="1.0749999999999999E-2"/>
    <n v="25.99"/>
    <n v="4.76"/>
    <n v="17.690000000000001"/>
    <n v="0.20430000000000001"/>
    <n v="28.65700830978"/>
    <n v="65"/>
    <s v="Stable"/>
    <x v="3"/>
    <n v="5"/>
    <s v="2 weeks"/>
    <s v="Maintain baseline reporting and test small promos or ads"/>
    <s v="Run a cohort test and compare lift vs control"/>
    <s v="Monitor KPIs and investigate outliers"/>
    <m/>
    <m/>
    <m/>
    <n v="5"/>
    <m/>
  </r>
  <r>
    <s v="M0023"/>
    <d v="2026-01-05T00:00:00"/>
    <x v="4"/>
    <x v="5"/>
    <n v="123"/>
    <n v="2018.8"/>
    <n v="495"/>
    <n v="-0.13005"/>
    <n v="1.626E-2"/>
    <n v="8.1300000000000001E-3"/>
    <n v="22.56"/>
    <n v="5"/>
    <n v="11.26"/>
    <n v="7.3169999999999999E-2"/>
    <n v="13.118745293070001"/>
    <n v="67"/>
    <s v="Declining orders"/>
    <x v="4"/>
    <n v="4"/>
    <s v="1 week"/>
    <s v="Upsell ads with a clear ROI story and onboarding checklist"/>
    <s v="Launch starter ads package and track incremental orders weekly"/>
    <s v="Track adoption, spend, and repeat rate"/>
    <m/>
    <m/>
    <m/>
    <n v="4"/>
    <m/>
  </r>
  <r>
    <s v="M0002"/>
    <d v="2026-01-05T00:00:00"/>
    <x v="9"/>
    <x v="3"/>
    <n v="152"/>
    <n v="3264.75"/>
    <n v="709"/>
    <n v="3.959E-2"/>
    <n v="4.6050000000000001E-2"/>
    <n v="2.632E-2"/>
    <n v="28.65"/>
    <n v="4.51"/>
    <n v="7.31"/>
    <n v="9.8680000000000004E-2"/>
    <n v="44.073771545829999"/>
    <n v="67"/>
    <s v="Stable"/>
    <x v="3"/>
    <n v="5"/>
    <s v="2 weeks"/>
    <s v="Maintain baseline reporting and test small promos or ads"/>
    <s v="Run a cohort test and compare lift vs control"/>
    <s v="Monitor KPIs and investigate outliers"/>
    <m/>
    <m/>
    <m/>
    <n v="5"/>
    <m/>
  </r>
  <r>
    <s v="M0140"/>
    <d v="2026-01-05T00:00:00"/>
    <x v="7"/>
    <x v="5"/>
    <n v="93"/>
    <n v="1533.94"/>
    <n v="397"/>
    <n v="-0.13696"/>
    <n v="4.301E-2"/>
    <n v="1.0749999999999999E-2"/>
    <n v="19.899999999999999"/>
    <n v="5"/>
    <n v="8.9"/>
    <n v="0.17204"/>
    <n v="29.652095280899999"/>
    <n v="67"/>
    <s v="Declining orders"/>
    <x v="3"/>
    <n v="5"/>
    <s v="2 weeks"/>
    <s v="Maintain baseline reporting and test small promos or ads"/>
    <s v="Run a cohort test and compare lift vs control"/>
    <s v="Monitor KPIs and investigate outliers"/>
    <m/>
    <m/>
    <m/>
    <n v="5"/>
    <m/>
  </r>
  <r>
    <s v="M0124"/>
    <d v="2026-01-05T00:00:00"/>
    <x v="1"/>
    <x v="1"/>
    <n v="314"/>
    <n v="10081.16"/>
    <n v="1123"/>
    <n v="-8.0259999999999998E-2"/>
    <n v="4.1399999999999999E-2"/>
    <n v="1.274E-2"/>
    <n v="23.75"/>
    <n v="4.8899999999999997"/>
    <n v="132.16999999999999"/>
    <n v="0.16879"/>
    <n v="12.87430631006"/>
    <n v="68"/>
    <s v="Stable"/>
    <x v="2"/>
    <n v="3"/>
    <s v="1 week"/>
    <s v="Cap spend, tighten targeting, reset campaigns with ROAS guardrails"/>
    <s v="Shift budget to top items and retarget high intent customers"/>
    <s v="Track ROAS lift and adoption efficiency weekly"/>
    <m/>
    <m/>
    <m/>
    <n v="3"/>
    <m/>
  </r>
  <r>
    <s v="M0030"/>
    <d v="2026-01-05T00:00:00"/>
    <x v="1"/>
    <x v="4"/>
    <n v="200"/>
    <n v="5925.92"/>
    <n v="755"/>
    <n v="-1.821E-2"/>
    <n v="0.03"/>
    <n v="2.5000000000000001E-2"/>
    <n v="30.97"/>
    <n v="4.82"/>
    <n v="16.760000000000002"/>
    <n v="6.5000000000000002E-2"/>
    <n v="22.982386634840001"/>
    <n v="69"/>
    <s v="Stable"/>
    <x v="4"/>
    <n v="4"/>
    <s v="1 week"/>
    <s v="Upsell ads with a clear ROI story and onboarding checklist"/>
    <s v="Launch starter ads package and track incremental orders weekly"/>
    <s v="Track adoption, spend, and repeat rate"/>
    <m/>
    <m/>
    <m/>
    <n v="4"/>
    <m/>
  </r>
  <r>
    <s v="M0052"/>
    <d v="2026-01-05T00:00:00"/>
    <x v="9"/>
    <x v="1"/>
    <n v="205"/>
    <n v="5991.25"/>
    <n v="886"/>
    <n v="-7.8039999999999998E-2"/>
    <n v="3.9019999999999999E-2"/>
    <n v="1.4630000000000001E-2"/>
    <n v="28.93"/>
    <n v="4.82"/>
    <n v="18.34"/>
    <n v="0.13658999999999999"/>
    <n v="44.619251908400003"/>
    <n v="69"/>
    <s v="Stable"/>
    <x v="4"/>
    <n v="4"/>
    <s v="1 week"/>
    <s v="Upsell ads with a clear ROI story and onboarding checklist"/>
    <s v="Launch starter ads package and track incremental orders weekly"/>
    <s v="Track adoption, spend, and repeat rate"/>
    <m/>
    <m/>
    <m/>
    <n v="4"/>
    <m/>
  </r>
  <r>
    <s v="M0099"/>
    <d v="2026-01-05T00:00:00"/>
    <x v="3"/>
    <x v="1"/>
    <n v="143"/>
    <n v="4127.09"/>
    <n v="498"/>
    <n v="-8.6239999999999997E-2"/>
    <n v="3.4970000000000001E-2"/>
    <n v="1.3990000000000001E-2"/>
    <n v="26.95"/>
    <n v="4.7699999999999996"/>
    <n v="19.68"/>
    <n v="0.11189"/>
    <n v="23.464039837400001"/>
    <n v="69"/>
    <s v="Stable"/>
    <x v="3"/>
    <n v="5"/>
    <s v="2 weeks"/>
    <s v="Maintain baseline reporting and test small promos or ads"/>
    <s v="Run a cohort test and compare lift vs control"/>
    <s v="Monitor KPIs and investigate outliers"/>
    <m/>
    <m/>
    <m/>
    <n v="5"/>
    <m/>
  </r>
  <r>
    <s v="M0103"/>
    <d v="2026-01-05T00:00:00"/>
    <x v="6"/>
    <x v="5"/>
    <n v="240"/>
    <n v="3930.48"/>
    <n v="793"/>
    <n v="-3.175E-2"/>
    <n v="4.5830000000000003E-2"/>
    <n v="2.0830000000000001E-2"/>
    <n v="25.81"/>
    <n v="4.99"/>
    <n v="41.04"/>
    <n v="0.17917"/>
    <n v="17.159137426899999"/>
    <n v="69"/>
    <s v="Stable"/>
    <x v="3"/>
    <n v="5"/>
    <s v="2 weeks"/>
    <s v="Maintain baseline reporting and test small promos or ads"/>
    <s v="Run a cohort test and compare lift vs control"/>
    <s v="Monitor KPIs and investigate outliers"/>
    <m/>
    <m/>
    <m/>
    <n v="5"/>
    <m/>
  </r>
  <r>
    <s v="M0040"/>
    <d v="2026-01-05T00:00:00"/>
    <x v="6"/>
    <x v="3"/>
    <n v="227"/>
    <n v="5495.9"/>
    <n v="784"/>
    <n v="-2.7300000000000001E-2"/>
    <n v="3.524E-2"/>
    <n v="1.762E-2"/>
    <n v="29.84"/>
    <n v="4.99"/>
    <n v="65.010000000000005"/>
    <n v="0.14537"/>
    <n v="12.289854314719999"/>
    <n v="70"/>
    <s v="Low ROAS"/>
    <x v="2"/>
    <n v="3"/>
    <s v="1 week"/>
    <s v="Cap spend, tighten targeting, reset campaigns with ROAS guardrails"/>
    <s v="Shift budget to top items and retarget high intent customers"/>
    <s v="Track ROAS lift and adoption efficiency weekly"/>
    <m/>
    <m/>
    <m/>
    <n v="3"/>
    <m/>
  </r>
  <r>
    <s v="M0165"/>
    <d v="2026-01-05T00:00:00"/>
    <x v="1"/>
    <x v="2"/>
    <n v="233"/>
    <n v="4088.31"/>
    <n v="959"/>
    <n v="-2.7380000000000002E-2"/>
    <n v="2.5749999999999999E-2"/>
    <n v="1.7170000000000001E-2"/>
    <n v="28.01"/>
    <n v="4.83"/>
    <n v="52.04"/>
    <n v="0.10730000000000001"/>
    <n v="8.4292827632599998"/>
    <n v="72"/>
    <s v="Low ROAS"/>
    <x v="2"/>
    <n v="3"/>
    <s v="1 week"/>
    <s v="Cap spend, tighten targeting, reset campaigns with ROAS guardrails"/>
    <s v="Shift budget to top items and retarget high intent customers"/>
    <s v="Track ROAS lift and adoption efficiency weekly"/>
    <m/>
    <m/>
    <m/>
    <n v="3"/>
    <m/>
  </r>
  <r>
    <s v="M0006"/>
    <d v="2026-01-05T00:00:00"/>
    <x v="4"/>
    <x v="4"/>
    <n v="130"/>
    <n v="4087.72"/>
    <n v="536"/>
    <n v="-0.12418"/>
    <n v="2.308E-2"/>
    <n v="1.538E-2"/>
    <n v="23.32"/>
    <n v="5"/>
    <n v="11.76"/>
    <n v="0.1"/>
    <n v="34.759523809519997"/>
    <n v="72"/>
    <s v="Declining orders"/>
    <x v="4"/>
    <n v="4"/>
    <s v="1 week"/>
    <s v="Upsell ads with a clear ROI story and onboarding checklist"/>
    <s v="Launch starter ads package and track incremental orders weekly"/>
    <s v="Track adoption, spend, and repeat rate"/>
    <m/>
    <m/>
    <m/>
    <n v="4"/>
    <m/>
  </r>
  <r>
    <s v="M0142"/>
    <d v="2026-01-05T00:00:00"/>
    <x v="6"/>
    <x v="5"/>
    <n v="82"/>
    <n v="1323.36"/>
    <n v="335"/>
    <n v="-4.2860000000000002E-2"/>
    <n v="2.4389999999999998E-2"/>
    <n v="2.4389999999999998E-2"/>
    <n v="20.49"/>
    <n v="4.96"/>
    <n v="17.14"/>
    <n v="0.10976"/>
    <n v="8.4741442823799993"/>
    <n v="72"/>
    <s v="Low ROAS"/>
    <x v="4"/>
    <n v="4"/>
    <s v="1 week"/>
    <s v="Upsell ads with a clear ROI story and onboarding checklist"/>
    <s v="Launch starter ads package and track incremental orders weekly"/>
    <s v="Track adoption, spend, and repeat rate"/>
    <m/>
    <m/>
    <m/>
    <n v="4"/>
    <m/>
  </r>
  <r>
    <s v="M0197"/>
    <d v="2026-01-05T00:00:00"/>
    <x v="5"/>
    <x v="5"/>
    <n v="210"/>
    <n v="3186.86"/>
    <n v="893"/>
    <n v="-8.1280000000000005E-2"/>
    <n v="2.3810000000000001E-2"/>
    <n v="1.9050000000000001E-2"/>
    <n v="21.62"/>
    <n v="4.9000000000000004"/>
    <n v="20.65"/>
    <n v="9.0480000000000005E-2"/>
    <n v="13.96295186441"/>
    <n v="72"/>
    <s v="Stable"/>
    <x v="4"/>
    <n v="4"/>
    <s v="1 week"/>
    <s v="Upsell ads with a clear ROI story and onboarding checklist"/>
    <s v="Launch starter ads package and track incremental orders weekly"/>
    <s v="Track adoption, spend, and repeat rate"/>
    <m/>
    <m/>
    <m/>
    <n v="4"/>
    <m/>
  </r>
  <r>
    <s v="M0174"/>
    <d v="2026-01-05T00:00:00"/>
    <x v="6"/>
    <x v="5"/>
    <n v="131"/>
    <n v="2071.6999999999998"/>
    <n v="460"/>
    <n v="-4.1669999999999999E-2"/>
    <n v="3.0530000000000002E-2"/>
    <n v="1.5270000000000001E-2"/>
    <n v="25.13"/>
    <n v="4.92"/>
    <n v="39.47"/>
    <n v="0.12214"/>
    <n v="6.4107439574400003"/>
    <n v="74"/>
    <s v="Low ROAS"/>
    <x v="2"/>
    <n v="3"/>
    <s v="1 week"/>
    <s v="Cap spend, tighten targeting, reset campaigns with ROAS guardrails"/>
    <s v="Shift budget to top items and retarget high intent customers"/>
    <s v="Track ROAS lift and adoption efficiency weekly"/>
    <m/>
    <m/>
    <m/>
    <n v="3"/>
    <m/>
  </r>
  <r>
    <s v="M0133"/>
    <d v="2026-01-05T00:00:00"/>
    <x v="9"/>
    <x v="4"/>
    <n v="128"/>
    <n v="4082.89"/>
    <n v="427"/>
    <n v="-4.4740000000000002E-2"/>
    <n v="2.3439999999999999E-2"/>
    <n v="1.5630000000000002E-2"/>
    <n v="32.01"/>
    <n v="5"/>
    <n v="17.14"/>
    <n v="0.10156"/>
    <n v="24.193028821470001"/>
    <n v="74"/>
    <s v="Stable"/>
    <x v="4"/>
    <n v="4"/>
    <s v="1 week"/>
    <s v="Upsell ads with a clear ROI story and onboarding checklist"/>
    <s v="Launch starter ads package and track incremental orders weekly"/>
    <s v="Track adoption, spend, and repeat rate"/>
    <m/>
    <m/>
    <m/>
    <n v="4"/>
    <m/>
  </r>
  <r>
    <s v="M0027"/>
    <d v="2026-01-05T00:00:00"/>
    <x v="2"/>
    <x v="4"/>
    <n v="111"/>
    <n v="3310.33"/>
    <n v="389"/>
    <n v="-8.899E-2"/>
    <n v="3.6040000000000003E-2"/>
    <n v="9.0100000000000006E-3"/>
    <n v="26.08"/>
    <n v="5"/>
    <n v="8.86"/>
    <n v="0.15315000000000001"/>
    <n v="57.22206331828"/>
    <n v="75"/>
    <s v="Stable"/>
    <x v="3"/>
    <n v="5"/>
    <s v="2 weeks"/>
    <s v="Maintain baseline reporting and test small promos or ads"/>
    <s v="Run a cohort test and compare lift vs control"/>
    <s v="Monitor KPIs and investigate outliers"/>
    <m/>
    <m/>
    <m/>
    <n v="5"/>
    <m/>
  </r>
  <r>
    <s v="M0077"/>
    <d v="2026-01-05T00:00:00"/>
    <x v="0"/>
    <x v="5"/>
    <n v="237"/>
    <n v="3562.47"/>
    <n v="858"/>
    <n v="-4.5609999999999998E-2"/>
    <n v="4.2189999999999998E-2"/>
    <n v="1.6879999999999999E-2"/>
    <n v="24.29"/>
    <n v="4.8499999999999996"/>
    <n v="14.35"/>
    <n v="0.13502"/>
    <n v="33.519763623689997"/>
    <n v="76"/>
    <s v="Stable"/>
    <x v="4"/>
    <n v="4"/>
    <s v="1 week"/>
    <s v="Upsell ads with a clear ROI story and onboarding checklist"/>
    <s v="Launch starter ads package and track incremental orders weekly"/>
    <s v="Track adoption, spend, and repeat rate"/>
    <m/>
    <m/>
    <m/>
    <n v="4"/>
    <m/>
  </r>
  <r>
    <s v="M0154"/>
    <d v="2026-01-05T00:00:00"/>
    <x v="0"/>
    <x v="3"/>
    <n v="115"/>
    <n v="2777.43"/>
    <n v="423"/>
    <n v="4.9630000000000001E-2"/>
    <n v="4.3479999999999998E-2"/>
    <n v="1.7389999999999999E-2"/>
    <n v="26.73"/>
    <n v="4.76"/>
    <n v="26.58"/>
    <n v="0.13042999999999999"/>
    <n v="13.6295513544"/>
    <n v="76"/>
    <s v="Stable"/>
    <x v="3"/>
    <n v="5"/>
    <s v="2 weeks"/>
    <s v="Maintain baseline reporting and test small promos or ads"/>
    <s v="Run a cohort test and compare lift vs control"/>
    <s v="Monitor KPIs and investigate outliers"/>
    <m/>
    <m/>
    <m/>
    <n v="5"/>
    <m/>
  </r>
  <r>
    <s v="M0034"/>
    <d v="2026-01-05T00:00:00"/>
    <x v="4"/>
    <x v="3"/>
    <n v="171"/>
    <n v="3591.58"/>
    <n v="611"/>
    <n v="5.1639999999999998E-2"/>
    <n v="2.9239999999999999E-2"/>
    <n v="1.754E-2"/>
    <n v="27.46"/>
    <n v="4.78"/>
    <n v="72.010000000000005"/>
    <n v="0.13450000000000001"/>
    <n v="6.70848515484"/>
    <n v="77"/>
    <s v="Low ROAS"/>
    <x v="2"/>
    <n v="3"/>
    <s v="1 week"/>
    <s v="Cap spend, tighten targeting, reset campaigns with ROAS guardrails"/>
    <s v="Shift budget to top items and retarget high intent customers"/>
    <s v="Track ROAS lift and adoption efficiency weekly"/>
    <m/>
    <m/>
    <m/>
    <n v="3"/>
    <m/>
  </r>
  <r>
    <s v="M0060"/>
    <d v="2026-01-05T00:00:00"/>
    <x v="5"/>
    <x v="5"/>
    <n v="130"/>
    <n v="2144.2199999999998"/>
    <n v="582"/>
    <n v="-4.4330000000000001E-2"/>
    <n v="3.0769999999999999E-2"/>
    <n v="1.538E-2"/>
    <n v="25.07"/>
    <n v="5"/>
    <n v="16.5"/>
    <n v="0.12307999999999999"/>
    <n v="15.99418181818"/>
    <n v="77"/>
    <s v="Stable"/>
    <x v="4"/>
    <n v="4"/>
    <s v="1 week"/>
    <s v="Upsell ads with a clear ROI story and onboarding checklist"/>
    <s v="Launch starter ads package and track incremental orders weekly"/>
    <s v="Track adoption, spend, and repeat rate"/>
    <m/>
    <m/>
    <m/>
    <n v="4"/>
    <m/>
  </r>
  <r>
    <s v="M0127"/>
    <d v="2026-01-05T00:00:00"/>
    <x v="8"/>
    <x v="1"/>
    <n v="155"/>
    <n v="5522.46"/>
    <n v="602"/>
    <n v="8.3800000000000003E-3"/>
    <n v="4.5159999999999999E-2"/>
    <n v="1.29E-2"/>
    <n v="28.98"/>
    <n v="4.96"/>
    <n v="17.73"/>
    <n v="9.6769999999999995E-2"/>
    <n v="30.142786802029999"/>
    <n v="77"/>
    <s v="Stable"/>
    <x v="4"/>
    <n v="4"/>
    <s v="1 week"/>
    <s v="Upsell ads with a clear ROI story and onboarding checklist"/>
    <s v="Launch starter ads package and track incremental orders weekly"/>
    <s v="Track adoption, spend, and repeat rate"/>
    <m/>
    <m/>
    <m/>
    <n v="4"/>
    <m/>
  </r>
  <r>
    <s v="M0007"/>
    <d v="2026-01-05T00:00:00"/>
    <x v="4"/>
    <x v="4"/>
    <n v="175"/>
    <n v="5549.74"/>
    <n v="793"/>
    <n v="-8.7459999999999996E-2"/>
    <n v="2.2859999999999998E-2"/>
    <n v="5.7099999999999998E-3"/>
    <n v="23.78"/>
    <n v="5"/>
    <n v="32.64"/>
    <n v="0.15429000000000001"/>
    <n v="26.233014705879999"/>
    <n v="78"/>
    <s v="Stable"/>
    <x v="3"/>
    <n v="5"/>
    <s v="2 weeks"/>
    <s v="Maintain baseline reporting and test small promos or ads"/>
    <s v="Run a cohort test and compare lift vs control"/>
    <s v="Monitor KPIs and investigate outliers"/>
    <m/>
    <m/>
    <m/>
    <n v="5"/>
    <m/>
  </r>
  <r>
    <s v="M0178"/>
    <d v="2026-01-05T00:00:00"/>
    <x v="9"/>
    <x v="4"/>
    <n v="303"/>
    <n v="7549.91"/>
    <n v="1129"/>
    <n v="1.6199999999999999E-2"/>
    <n v="3.6299999999999999E-2"/>
    <n v="1.6500000000000001E-2"/>
    <n v="27.28"/>
    <n v="4.79"/>
    <n v="103.28"/>
    <n v="0.22442000000000001"/>
    <n v="16.40558927188"/>
    <n v="78"/>
    <s v="Stable"/>
    <x v="3"/>
    <n v="5"/>
    <s v="2 weeks"/>
    <s v="Maintain baseline reporting and test small promos or ads"/>
    <s v="Run a cohort test and compare lift vs control"/>
    <s v="Monitor KPIs and investigate outliers"/>
    <m/>
    <m/>
    <m/>
    <n v="5"/>
    <m/>
  </r>
  <r>
    <s v="M0115"/>
    <d v="2026-01-05T00:00:00"/>
    <x v="5"/>
    <x v="3"/>
    <n v="183"/>
    <n v="4046.53"/>
    <n v="658"/>
    <n v="-2.9499999999999998E-2"/>
    <n v="2.7320000000000001E-2"/>
    <n v="1.093E-2"/>
    <n v="24.78"/>
    <n v="4.97"/>
    <n v="63.81"/>
    <n v="0.1694"/>
    <n v="10.7424818367"/>
    <n v="79"/>
    <s v="Low ROAS"/>
    <x v="2"/>
    <n v="3"/>
    <s v="1 week"/>
    <s v="Cap spend, tighten targeting, reset campaigns with ROAS guardrails"/>
    <s v="Shift budget to top items and retarget high intent customers"/>
    <s v="Track ROAS lift and adoption efficiency weekly"/>
    <m/>
    <m/>
    <m/>
    <n v="3"/>
    <m/>
  </r>
  <r>
    <s v="M0136"/>
    <d v="2026-01-05T00:00:00"/>
    <x v="7"/>
    <x v="5"/>
    <n v="149"/>
    <n v="2558.85"/>
    <n v="557"/>
    <n v="-3.5799999999999998E-3"/>
    <n v="4.6980000000000001E-2"/>
    <n v="2.0129999999999999E-2"/>
    <n v="22.45"/>
    <n v="4.99"/>
    <n v="9.2200000000000006"/>
    <n v="0.12751999999999999"/>
    <n v="35.390055314530002"/>
    <n v="79"/>
    <s v="Stable"/>
    <x v="4"/>
    <n v="4"/>
    <s v="1 week"/>
    <s v="Upsell ads with a clear ROI story and onboarding checklist"/>
    <s v="Launch starter ads package and track incremental orders weekly"/>
    <s v="Track adoption, spend, and repeat rate"/>
    <m/>
    <m/>
    <m/>
    <n v="4"/>
    <m/>
  </r>
  <r>
    <s v="M0011"/>
    <d v="2026-01-05T00:00:00"/>
    <x v="8"/>
    <x v="2"/>
    <n v="107"/>
    <n v="2102.23"/>
    <n v="389"/>
    <n v="1.567E-2"/>
    <n v="2.8039999999999999E-2"/>
    <n v="1.8689999999999998E-2"/>
    <n v="26.66"/>
    <n v="4.91"/>
    <n v="10.65"/>
    <n v="8.4110000000000004E-2"/>
    <n v="16.603106197180001"/>
    <n v="80"/>
    <s v="Stable"/>
    <x v="4"/>
    <n v="4"/>
    <s v="1 week"/>
    <s v="Upsell ads with a clear ROI story and onboarding checklist"/>
    <s v="Launch starter ads package and track incremental orders weekly"/>
    <s v="Track adoption, spend, and repeat rate"/>
    <m/>
    <m/>
    <m/>
    <n v="4"/>
    <m/>
  </r>
  <r>
    <s v="M0184"/>
    <d v="2026-01-05T00:00:00"/>
    <x v="2"/>
    <x v="2"/>
    <n v="188"/>
    <n v="3277.4"/>
    <n v="725"/>
    <n v="-1.8939999999999999E-2"/>
    <n v="2.6599999999999999E-2"/>
    <n v="1.064E-2"/>
    <n v="24.06"/>
    <n v="4.8499999999999996"/>
    <n v="25.43"/>
    <n v="0.10638"/>
    <n v="13.71056154149"/>
    <n v="81"/>
    <s v="Stable"/>
    <x v="4"/>
    <n v="4"/>
    <s v="1 week"/>
    <s v="Upsell ads with a clear ROI story and onboarding checklist"/>
    <s v="Launch starter ads package and track incremental orders weekly"/>
    <s v="Track adoption, spend, and repeat rate"/>
    <m/>
    <m/>
    <m/>
    <n v="4"/>
    <m/>
  </r>
  <r>
    <s v="M0055"/>
    <d v="2026-01-05T00:00:00"/>
    <x v="0"/>
    <x v="5"/>
    <n v="136"/>
    <n v="2229.11"/>
    <n v="603"/>
    <n v="-1.3089999999999999E-2"/>
    <n v="3.6760000000000001E-2"/>
    <n v="1.4710000000000001E-2"/>
    <n v="20.79"/>
    <n v="4.8099999999999996"/>
    <n v="8.56"/>
    <n v="9.5589999999999994E-2"/>
    <n v="24.892137266359999"/>
    <n v="84"/>
    <s v="Stable"/>
    <x v="4"/>
    <n v="4"/>
    <s v="1 week"/>
    <s v="Upsell ads with a clear ROI story and onboarding checklist"/>
    <s v="Launch starter ads package and track incremental orders weekly"/>
    <s v="Track adoption, spend, and repeat rate"/>
    <m/>
    <m/>
    <m/>
    <n v="4"/>
    <m/>
  </r>
  <r>
    <s v="M0086"/>
    <d v="2026-01-05T00:00:00"/>
    <x v="1"/>
    <x v="4"/>
    <n v="165"/>
    <n v="4981.75"/>
    <n v="600"/>
    <n v="8.8929999999999995E-2"/>
    <n v="3.6360000000000003E-2"/>
    <n v="1.2120000000000001E-2"/>
    <n v="32.04"/>
    <n v="4.99"/>
    <n v="28.25"/>
    <n v="0.15758"/>
    <n v="27.787717663719999"/>
    <n v="84"/>
    <s v="Stable"/>
    <x v="3"/>
    <n v="5"/>
    <s v="2 weeks"/>
    <s v="Maintain baseline reporting and test small promos or ads"/>
    <s v="Run a cohort test and compare lift vs control"/>
    <s v="Monitor KPIs and investigate outliers"/>
    <m/>
    <m/>
    <m/>
    <n v="5"/>
    <m/>
  </r>
  <r>
    <s v="M0198"/>
    <d v="2026-01-05T00:00:00"/>
    <x v="3"/>
    <x v="1"/>
    <n v="159"/>
    <n v="5188.74"/>
    <n v="587"/>
    <n v="3.1629999999999998E-2"/>
    <n v="4.403E-2"/>
    <n v="1.8870000000000001E-2"/>
    <n v="22.2"/>
    <n v="4.9800000000000004"/>
    <n v="15.49"/>
    <n v="0.13836000000000001"/>
    <n v="46.348539057460002"/>
    <n v="85"/>
    <s v="Stable"/>
    <x v="4"/>
    <n v="4"/>
    <s v="1 week"/>
    <s v="Upsell ads with a clear ROI story and onboarding checklist"/>
    <s v="Launch starter ads package and track incremental orders weekly"/>
    <s v="Track adoption, spend, and repeat rate"/>
    <m/>
    <m/>
    <m/>
    <n v="4"/>
    <m/>
  </r>
  <r>
    <s v="M0012"/>
    <d v="2026-01-05T00:00:00"/>
    <x v="3"/>
    <x v="2"/>
    <n v="126"/>
    <n v="2175.4699999999998"/>
    <n v="539"/>
    <n v="4.4569999999999999E-2"/>
    <n v="2.3810000000000001E-2"/>
    <n v="1.5869999999999999E-2"/>
    <n v="23.21"/>
    <n v="4.83"/>
    <n v="30.61"/>
    <n v="0.14285999999999999"/>
    <n v="10.15293792878"/>
    <n v="85"/>
    <s v="Low ROAS"/>
    <x v="4"/>
    <n v="4"/>
    <s v="1 week"/>
    <s v="Upsell ads with a clear ROI story and onboarding checklist"/>
    <s v="Launch starter ads package and track incremental orders weekly"/>
    <s v="Track adoption, spend, and repeat rate"/>
    <m/>
    <m/>
    <m/>
    <n v="4"/>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F23465A-CA95-2D4D-B67E-2BA34F3A6090}"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egment">
  <location ref="A1:E7" firstHeaderRow="0" firstDataRow="1" firstDataCol="1"/>
  <pivotFields count="28">
    <pivotField dataField="1" showAll="0"/>
    <pivotField numFmtId="14" showAll="0"/>
    <pivotField showAll="0">
      <items count="11">
        <item x="8"/>
        <item x="6"/>
        <item x="0"/>
        <item x="2"/>
        <item x="4"/>
        <item x="5"/>
        <item x="1"/>
        <item x="7"/>
        <item x="9"/>
        <item x="3"/>
        <item t="default"/>
      </items>
    </pivotField>
    <pivotField showAll="0">
      <items count="7">
        <item x="5"/>
        <item x="2"/>
        <item x="0"/>
        <item x="1"/>
        <item x="4"/>
        <item x="3"/>
        <item t="default"/>
      </items>
    </pivotField>
    <pivotField showAll="0"/>
    <pivotField showAll="0"/>
    <pivotField showAll="0"/>
    <pivotField dataField="1" numFmtId="166" showAll="0"/>
    <pivotField numFmtId="10" showAll="0"/>
    <pivotField numFmtId="10" showAll="0"/>
    <pivotField showAll="0"/>
    <pivotField showAll="0"/>
    <pivotField showAll="0"/>
    <pivotField showAll="0"/>
    <pivotField dataField="1" numFmtId="2" showAll="0"/>
    <pivotField dataField="1" numFmtId="1" showAll="0"/>
    <pivotField showAll="0"/>
    <pivotField axis="axisRow" showAll="0" sortType="ascending">
      <items count="6">
        <item x="2"/>
        <item x="0"/>
        <item x="3"/>
        <item x="4"/>
        <item x="1"/>
        <item t="default"/>
      </items>
    </pivotField>
    <pivotField showAll="0"/>
    <pivotField showAll="0"/>
    <pivotField showAll="0"/>
    <pivotField showAll="0"/>
    <pivotField showAll="0"/>
    <pivotField showAll="0"/>
    <pivotField showAll="0"/>
    <pivotField showAll="0"/>
    <pivotField showAll="0"/>
    <pivotField showAll="0"/>
  </pivotFields>
  <rowFields count="1">
    <field x="17"/>
  </rowFields>
  <rowItems count="6">
    <i>
      <x/>
    </i>
    <i>
      <x v="1"/>
    </i>
    <i>
      <x v="2"/>
    </i>
    <i>
      <x v="3"/>
    </i>
    <i>
      <x v="4"/>
    </i>
    <i t="grand">
      <x/>
    </i>
  </rowItems>
  <colFields count="1">
    <field x="-2"/>
  </colFields>
  <colItems count="4">
    <i>
      <x/>
    </i>
    <i i="1">
      <x v="1"/>
    </i>
    <i i="2">
      <x v="2"/>
    </i>
    <i i="3">
      <x v="3"/>
    </i>
  </colItems>
  <dataFields count="4">
    <dataField name="Merchants" fld="0" subtotal="count" baseField="0" baseItem="0"/>
    <dataField name="Average Health Score" fld="15" subtotal="average" baseField="0" baseItem="0" numFmtId="1"/>
    <dataField name="Average orders_growth_4w" fld="7" subtotal="average" baseField="0" baseItem="0" numFmtId="166"/>
    <dataField name="Average roas" fld="14" subtotal="average" baseField="0" baseItem="0" numFmtId="2"/>
  </dataFields>
  <formats count="19">
    <format dxfId="27">
      <pivotArea collapsedLevelsAreSubtotals="1" fieldPosition="0">
        <references count="1">
          <reference field="17" count="0"/>
        </references>
      </pivotArea>
    </format>
    <format dxfId="18">
      <pivotArea type="all" dataOnly="0" outline="0" fieldPosition="0"/>
    </format>
    <format dxfId="17">
      <pivotArea outline="0" collapsedLevelsAreSubtotals="1" fieldPosition="0"/>
    </format>
    <format dxfId="16">
      <pivotArea field="17" type="button" dataOnly="0" labelOnly="1" outline="0" axis="axisRow" fieldPosition="0"/>
    </format>
    <format dxfId="15">
      <pivotArea dataOnly="0" labelOnly="1" fieldPosition="0">
        <references count="1">
          <reference field="17" count="0"/>
        </references>
      </pivotArea>
    </format>
    <format dxfId="14">
      <pivotArea dataOnly="0" labelOnly="1" grandRow="1" outline="0" fieldPosition="0"/>
    </format>
    <format dxfId="13">
      <pivotArea dataOnly="0" labelOnly="1" outline="0" fieldPosition="0">
        <references count="1">
          <reference field="4294967294" count="4">
            <x v="0"/>
            <x v="1"/>
            <x v="2"/>
            <x v="3"/>
          </reference>
        </references>
      </pivotArea>
    </format>
    <format dxfId="12">
      <pivotArea type="all" dataOnly="0" outline="0" fieldPosition="0"/>
    </format>
    <format dxfId="11">
      <pivotArea outline="0" collapsedLevelsAreSubtotals="1" fieldPosition="0"/>
    </format>
    <format dxfId="10">
      <pivotArea field="17" type="button" dataOnly="0" labelOnly="1" outline="0" axis="axisRow" fieldPosition="0"/>
    </format>
    <format dxfId="9">
      <pivotArea dataOnly="0" labelOnly="1" fieldPosition="0">
        <references count="1">
          <reference field="17" count="0"/>
        </references>
      </pivotArea>
    </format>
    <format dxfId="8">
      <pivotArea dataOnly="0" labelOnly="1" grandRow="1" outline="0" fieldPosition="0"/>
    </format>
    <format dxfId="7">
      <pivotArea dataOnly="0" labelOnly="1" outline="0" fieldPosition="0">
        <references count="1">
          <reference field="4294967294" count="4">
            <x v="0"/>
            <x v="1"/>
            <x v="2"/>
            <x v="3"/>
          </reference>
        </references>
      </pivotArea>
    </format>
    <format dxfId="6">
      <pivotArea type="all" dataOnly="0" outline="0" fieldPosition="0"/>
    </format>
    <format dxfId="5">
      <pivotArea outline="0" collapsedLevelsAreSubtotals="1" fieldPosition="0"/>
    </format>
    <format dxfId="4">
      <pivotArea field="17" type="button" dataOnly="0" labelOnly="1" outline="0" axis="axisRow" fieldPosition="0"/>
    </format>
    <format dxfId="3">
      <pivotArea dataOnly="0" labelOnly="1" fieldPosition="0">
        <references count="1">
          <reference field="17" count="0"/>
        </references>
      </pivotArea>
    </format>
    <format dxfId="2">
      <pivotArea dataOnly="0" labelOnly="1" grandRow="1" outline="0" fieldPosition="0"/>
    </format>
    <format dxfId="1">
      <pivotArea dataOnly="0" labelOnly="1" outline="0" fieldPosition="0">
        <references count="1">
          <reference field="4294967294" count="4">
            <x v="0"/>
            <x v="1"/>
            <x v="2"/>
            <x v="3"/>
          </reference>
        </references>
      </pivotArea>
    </format>
  </formats>
  <pivotTableStyleInfo name="PivotTable Style 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1FF5740-7619-0D4D-9923-920F21D258A0}" autoFormatId="16" applyNumberFormats="0" applyBorderFormats="0" applyFontFormats="0" applyPatternFormats="0" applyAlignmentFormats="0" applyWidthHeightFormats="0">
  <queryTableRefresh nextId="35" unboundColumnsRight="3">
    <queryTableFields count="27">
      <queryTableField id="1" name="merchant_id" tableColumnId="1"/>
      <queryTableField id="2" name="week_start" tableColumnId="2"/>
      <queryTableField id="3" name="city" tableColumnId="3"/>
      <queryTableField id="4" name="category" tableColumnId="4"/>
      <queryTableField id="5" name="orders" tableColumnId="5"/>
      <queryTableField id="6" name="revenue" tableColumnId="6"/>
      <queryTableField id="7" name="orders_last_4w" tableColumnId="7"/>
      <queryTableField id="8" name="orders_growth_4w" tableColumnId="8"/>
      <queryTableField id="9" name="cancel_rate" tableColumnId="9"/>
      <queryTableField id="10" name="refund_rate" tableColumnId="10"/>
      <queryTableField id="11" name="prep_time_mins_avg" tableColumnId="11"/>
      <queryTableField id="12" name="rating_avg" tableColumnId="12"/>
      <queryTableField id="13" name="ad_spend" tableColumnId="13"/>
      <queryTableField id="14" name="ad_penetration" tableColumnId="14"/>
      <queryTableField id="15" name="roas" tableColumnId="15"/>
      <queryTableField id="16" name="health_score" tableColumnId="16"/>
      <queryTableField id="17" name="top_issue_driver" tableColumnId="17"/>
      <queryTableField id="18" name="segment" tableColumnId="18"/>
      <queryTableField id="32" dataBound="0" tableColumnId="34"/>
      <queryTableField id="33" dataBound="0" tableColumnId="36"/>
      <queryTableField id="34" dataBound="0" tableColumnId="38"/>
      <queryTableField id="19" name="recommended_action_1" tableColumnId="19"/>
      <queryTableField id="20" name="recommended_action_2" tableColumnId="20"/>
      <queryTableField id="21" name="recommended_action_3" tableColumnId="21"/>
      <queryTableField id="23" dataBound="0" tableColumnId="23"/>
      <queryTableField id="26" dataBound="0" tableColumnId="25"/>
      <queryTableField id="27" dataBound="0" tableColumnId="2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1E8444E-887C-FB47-B642-6FBFBE54936E}" sourceName="category">
  <pivotTables>
    <pivotTable tabId="3" name="PivotTable1"/>
  </pivotTables>
  <data>
    <tabular pivotCacheId="562668264">
      <items count="6">
        <i x="5" s="1"/>
        <i x="2" s="1"/>
        <i x="0" s="1"/>
        <i x="1" s="1"/>
        <i x="4"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97069753-A270-FD4F-A121-3119C3B85778}" sourceName="segment">
  <pivotTables>
    <pivotTable tabId="3" name="PivotTable1"/>
  </pivotTables>
  <data>
    <tabular pivotCacheId="562668264">
      <items count="5">
        <i x="2" s="1"/>
        <i x="0" s="1"/>
        <i x="3" s="1"/>
        <i x="4"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AE317847-1179-814E-86BF-060386F5F6BD}" sourceName="city">
  <pivotTables>
    <pivotTable tabId="3" name="PivotTable1"/>
  </pivotTables>
  <data>
    <tabular pivotCacheId="562668264">
      <items count="10">
        <i x="8" s="1"/>
        <i x="6" s="1"/>
        <i x="0" s="1"/>
        <i x="2" s="1"/>
        <i x="4" s="1"/>
        <i x="5" s="1"/>
        <i x="1" s="1"/>
        <i x="7" s="1"/>
        <i x="9"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FFEAFAF3-187C-C74E-A435-48181EA1728A}" cache="Slicer_category" caption="category" rowHeight="251883"/>
  <slicer name="category 2" xr10:uid="{268E5D5B-CD23-414C-B9FB-54AAE860F1CE}" cache="Slicer_category" caption="category" rowHeight="251883"/>
  <slicer name="category" xr10:uid="{DE1E221F-58FF-CD4A-8374-F9990EB488F1}" cache="Slicer_category" caption="category" style="SlicerStyleOther1" rowHeight="251883"/>
  <slicer name="category 3" xr10:uid="{F499AE28-366C-F348-A6B4-82C8BF88DC1B}" cache="Slicer_category" caption="category" rowHeight="251883"/>
  <slicer name="category 4" xr10:uid="{0D49F00C-A177-224E-92E9-488D732447CA}" cache="Slicer_category" caption="category" rowHeight="251883"/>
  <slicer name="segment 1" xr10:uid="{6C80D06B-C07C-8242-9CBE-9C78B60FB06B}" cache="Slicer_segment" caption="segment" rowHeight="251883"/>
  <slicer name="segment 2" xr10:uid="{DFA5F5D6-A046-B043-B1C3-4D317357A053}" cache="Slicer_segment" caption="segment" rowHeight="251883"/>
  <slicer name="segment" xr10:uid="{1DEF4099-3B64-464A-A9C1-14DF4F871009}" cache="Slicer_segment" caption="segment" style="SlicerStyleOther1" rowHeight="251883"/>
  <slicer name="city" xr10:uid="{B28AA096-A505-B947-BB5F-D73B1750E3F9}" cache="Slicer_city" caption="city" style="SlicerStyleOther1" rowHeight="251883"/>
  <slicer name="city 1" xr10:uid="{54DE1A2A-1E5E-404E-A320-A04DBBEB5B11}" cache="Slicer_city" caption="city" rowHeight="251883"/>
  <slicer name="city 2" xr10:uid="{2B3FC23D-3D7D-EE4B-BEA7-296333C408D2}" cache="Slicer_city" caption="city" rowHeight="251883"/>
  <slicer name="city 3" xr10:uid="{BC24AA30-F00F-CF48-B74A-004C141DDB45}" cache="Slicer_city" caption="city" rowHeight="251883"/>
  <slicer name="city 4" xr10:uid="{BC78A83C-6774-484F-AF29-24F14591499D}" cache="Slicer_city" caption="city" rowHeight="251883"/>
  <slicer name="city 5" xr10:uid="{B3CF9B95-C62C-644B-93D1-6CF1E67CE223}" cache="Slicer_city" caption="city" rowHeight="251883"/>
  <slicer name="city 6" xr10:uid="{D0E74A25-0C5E-8D47-8296-8BA3137AD2AE}" cache="Slicer_city" caption="city"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F7C1127-373F-F34E-A437-E2F91DD6869A}" name="tblSMB" displayName="tblSMB" ref="A1:AA201" tableType="queryTable" totalsRowShown="0" headerRowDxfId="0">
  <sortState xmlns:xlrd2="http://schemas.microsoft.com/office/spreadsheetml/2017/richdata2" ref="A2:AA201">
    <sortCondition ref="P1:P201"/>
  </sortState>
  <tableColumns count="27">
    <tableColumn id="1" xr3:uid="{E3548918-97B5-9D4C-A6D5-AE87E1085353}" uniqueName="1" name="merchant_id" queryTableFieldId="1" dataDxfId="56"/>
    <tableColumn id="2" xr3:uid="{F2351532-E839-5248-BD53-91B07869884C}" uniqueName="2" name="week_start" queryTableFieldId="2" dataDxfId="32"/>
    <tableColumn id="3" xr3:uid="{AF898EC3-3368-0E4B-BADC-2002F9885AD3}" uniqueName="3" name="city" queryTableFieldId="3" dataDxfId="55"/>
    <tableColumn id="4" xr3:uid="{3A77D1DB-A849-B341-9460-78772EF0B5A9}" uniqueName="4" name="category" queryTableFieldId="4" dataDxfId="54"/>
    <tableColumn id="5" xr3:uid="{D4AE18CE-70FF-0E4C-B6EC-D8A1FF43ACAA}" uniqueName="5" name="orders" queryTableFieldId="5"/>
    <tableColumn id="6" xr3:uid="{CE0AF59C-41A9-1247-9100-A88288018A75}" uniqueName="6" name="revenue" queryTableFieldId="6"/>
    <tableColumn id="7" xr3:uid="{7940A4B3-F39A-5341-B0DA-FA97CAF269A4}" uniqueName="7" name="orders_last_4w" queryTableFieldId="7"/>
    <tableColumn id="8" xr3:uid="{7F36E908-AEAB-7D42-B631-78A0F4B989FC}" uniqueName="8" name="orders_growth_4w" queryTableFieldId="8" dataDxfId="53"/>
    <tableColumn id="9" xr3:uid="{DD3FE782-FDE2-FE4B-9066-14C050AD8312}" uniqueName="9" name="cancel_rate" queryTableFieldId="9" dataDxfId="52"/>
    <tableColumn id="10" xr3:uid="{A798795D-51B5-054C-B17F-B390D55A28B0}" uniqueName="10" name="refund_rate" queryTableFieldId="10" dataDxfId="51"/>
    <tableColumn id="11" xr3:uid="{4AE97454-F122-D341-AC9C-305EAC3860F9}" uniqueName="11" name="prep_time_mins_avg" queryTableFieldId="11"/>
    <tableColumn id="12" xr3:uid="{374211B8-CA50-7042-BA06-F42E41C3EAD0}" uniqueName="12" name="rating_avg" queryTableFieldId="12"/>
    <tableColumn id="13" xr3:uid="{3B59B56B-6B1D-8B48-938F-53A61D2B4E31}" uniqueName="13" name="ad_spend" queryTableFieldId="13"/>
    <tableColumn id="14" xr3:uid="{8B99378A-7114-2A43-A36C-CC2DBB9B3637}" uniqueName="14" name="ad_penetration" queryTableFieldId="14"/>
    <tableColumn id="15" xr3:uid="{B72B1DFB-B0C3-6348-BA27-62502AADB269}" uniqueName="15" name="roas" queryTableFieldId="15" dataDxfId="50"/>
    <tableColumn id="16" xr3:uid="{FCCD46A0-31DB-DE40-8B1A-20CE46853B77}" uniqueName="16" name="health_score" queryTableFieldId="16" dataDxfId="48"/>
    <tableColumn id="17" xr3:uid="{35B55F19-00A6-8D4E-86B6-FB6106BC3162}" uniqueName="17" name="top_issue_driver" queryTableFieldId="17" dataDxfId="49"/>
    <tableColumn id="18" xr3:uid="{0E27607D-1F4A-284E-9A6A-589DF986EB3F}" uniqueName="18" name="segment" queryTableFieldId="18" dataDxfId="45"/>
    <tableColumn id="34" xr3:uid="{011EBA81-60E5-8441-B7EF-FF7F8FFF4CAD}" uniqueName="34" name="priority_rank" queryTableFieldId="32" dataDxfId="44">
      <calculatedColumnFormula array="1">_xlfn.SWITCH(tblSMB[[#This Row],[segment]],
"At Risk",1,
"Ops Constrained",2,
"Ad Inefficient",3,
"High Potential",4,
"Core",5,99)</calculatedColumnFormula>
    </tableColumn>
    <tableColumn id="36" xr3:uid="{F56A2797-980D-E340-8459-F2C7D3EB3C95}" uniqueName="36" name="next_touch_sla" queryTableFieldId="33" dataDxfId="43">
      <calculatedColumnFormula array="1">_xlfn.SWITCH(tblSMB[[#This Row],[segment]],
"At Risk","48 hours",
"Ops Constrained","72 hours",
"Ad Inefficient","1 week",
"High Potential","1 week",
"Core","2 weeks","")</calculatedColumnFormula>
    </tableColumn>
    <tableColumn id="38" xr3:uid="{A7DB776B-7CBF-5C4C-9D35-DE6D900481F5}" uniqueName="38" name="segment_qc_flag" queryTableFieldId="34" dataDxfId="37">
      <calculatedColumnFormula>IF(AND(tblSMB[[#This Row],[segment]]&lt;&gt;"Ad Inefficient",tblSMB[[#This Row],[roas]]&lt;10),"Check: Low ROAS not flagged","")</calculatedColumnFormula>
    </tableColumn>
    <tableColumn id="19" xr3:uid="{6854B882-DCF5-7648-8865-16D779ACAB5A}" uniqueName="19" name="recommended_action_1" queryTableFieldId="19" dataDxfId="36"/>
    <tableColumn id="20" xr3:uid="{F4CD5312-993E-2241-BE15-DA54C32E127D}" uniqueName="20" name="recommended_action_2" queryTableFieldId="20" dataDxfId="35"/>
    <tableColumn id="21" xr3:uid="{EAFAAFC5-FA29-8146-84C8-EF581AC0EF07}" uniqueName="21" name="recommended_action_3" queryTableFieldId="21" dataDxfId="33"/>
    <tableColumn id="23" xr3:uid="{E84326B6-14B4-F44F-B9F6-5787F1A72115}" uniqueName="23" name="Owner" queryTableFieldId="23" dataDxfId="34"/>
    <tableColumn id="25" xr3:uid="{C3340093-A9FC-6B42-8890-2356B56C6E20}" uniqueName="25" name="next_touch_date" queryTableFieldId="26" dataDxfId="47"/>
    <tableColumn id="26" xr3:uid="{69593A4B-FB55-9245-884B-F372F96EB89E}" uniqueName="26" name="Status" queryTableFieldId="27" dataDxfId="46"/>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DCBC6-495B-4F4C-8946-450A4AFD1273}">
  <dimension ref="A1:E7"/>
  <sheetViews>
    <sheetView zoomScale="110" zoomScaleNormal="110" workbookViewId="0">
      <pane ySplit="1" topLeftCell="A2" activePane="bottomLeft" state="frozen"/>
      <selection pane="bottomLeft" activeCell="I37" sqref="I37"/>
    </sheetView>
  </sheetViews>
  <sheetFormatPr baseColWidth="10" defaultRowHeight="16" x14ac:dyDescent="0.2"/>
  <cols>
    <col min="1" max="1" width="19.1640625" customWidth="1"/>
    <col min="2" max="2" width="12.83203125" customWidth="1"/>
    <col min="3" max="3" width="22.33203125" customWidth="1"/>
    <col min="4" max="4" width="29.5" customWidth="1"/>
    <col min="5" max="5" width="16" customWidth="1"/>
  </cols>
  <sheetData>
    <row r="1" spans="1:5" ht="18" x14ac:dyDescent="0.2">
      <c r="A1" s="12" t="s">
        <v>17</v>
      </c>
      <c r="B1" s="13" t="s">
        <v>268</v>
      </c>
      <c r="C1" s="13" t="s">
        <v>269</v>
      </c>
      <c r="D1" s="13" t="s">
        <v>270</v>
      </c>
      <c r="E1" s="13" t="s">
        <v>271</v>
      </c>
    </row>
    <row r="2" spans="1:5" ht="18" x14ac:dyDescent="0.2">
      <c r="A2" s="14" t="s">
        <v>168</v>
      </c>
      <c r="B2" s="15">
        <v>30</v>
      </c>
      <c r="C2" s="16">
        <v>54.533333333333331</v>
      </c>
      <c r="D2" s="17">
        <v>-4.8323666666666674E-2</v>
      </c>
      <c r="E2" s="18">
        <v>9.7907251281116654</v>
      </c>
    </row>
    <row r="3" spans="1:5" ht="18" x14ac:dyDescent="0.2">
      <c r="A3" s="14" t="s">
        <v>59</v>
      </c>
      <c r="B3" s="15">
        <v>59</v>
      </c>
      <c r="C3" s="16">
        <v>33.983050847457626</v>
      </c>
      <c r="D3" s="17">
        <v>-0.10748389830508477</v>
      </c>
      <c r="E3" s="18">
        <v>24.845874376786103</v>
      </c>
    </row>
    <row r="4" spans="1:5" ht="18" x14ac:dyDescent="0.2">
      <c r="A4" s="14" t="s">
        <v>25</v>
      </c>
      <c r="B4" s="15">
        <v>51</v>
      </c>
      <c r="C4" s="16">
        <v>55.96078431372549</v>
      </c>
      <c r="D4" s="17">
        <v>-8.4861176470588232E-2</v>
      </c>
      <c r="E4" s="18">
        <v>21.871818148339024</v>
      </c>
    </row>
    <row r="5" spans="1:5" ht="18" x14ac:dyDescent="0.2">
      <c r="A5" s="14" t="s">
        <v>32</v>
      </c>
      <c r="B5" s="15">
        <v>22</v>
      </c>
      <c r="C5" s="16">
        <v>71</v>
      </c>
      <c r="D5" s="17">
        <v>-6.0617272727272707E-2</v>
      </c>
      <c r="E5" s="18">
        <v>24.139958759004092</v>
      </c>
    </row>
    <row r="6" spans="1:5" ht="18" x14ac:dyDescent="0.2">
      <c r="A6" s="14" t="s">
        <v>45</v>
      </c>
      <c r="B6" s="15">
        <v>38</v>
      </c>
      <c r="C6" s="16">
        <v>51</v>
      </c>
      <c r="D6" s="17">
        <v>-2.0524736842105266E-2</v>
      </c>
      <c r="E6" s="18">
        <v>28.260591456564743</v>
      </c>
    </row>
    <row r="7" spans="1:5" ht="18" x14ac:dyDescent="0.2">
      <c r="A7" s="14" t="s">
        <v>267</v>
      </c>
      <c r="B7" s="19">
        <v>200</v>
      </c>
      <c r="C7" s="20">
        <v>49.975000000000001</v>
      </c>
      <c r="D7" s="21">
        <v>-7.1163500000000018E-2</v>
      </c>
      <c r="E7" s="22">
        <v>22.400363178432855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E5D93-43D5-6D4C-B744-71AC85722226}">
  <dimension ref="A1:AA201"/>
  <sheetViews>
    <sheetView tabSelected="1" topLeftCell="A155" zoomScale="120" zoomScaleNormal="120" workbookViewId="0"/>
  </sheetViews>
  <sheetFormatPr baseColWidth="10" defaultRowHeight="16" x14ac:dyDescent="0.2"/>
  <cols>
    <col min="1" max="1" width="14" bestFit="1" customWidth="1"/>
    <col min="2" max="2" width="15" customWidth="1"/>
    <col min="3" max="3" width="15.1640625" customWidth="1"/>
    <col min="4" max="4" width="12.33203125" customWidth="1"/>
    <col min="5" max="5" width="9.83203125" customWidth="1"/>
    <col min="6" max="6" width="12" customWidth="1"/>
    <col min="7" max="7" width="16.1640625" bestFit="1" customWidth="1"/>
    <col min="8" max="8" width="18.83203125" style="4" bestFit="1" customWidth="1"/>
    <col min="9" max="9" width="13.33203125" style="3" bestFit="1" customWidth="1"/>
    <col min="10" max="10" width="13.1640625" style="3" bestFit="1" customWidth="1"/>
    <col min="11" max="11" width="20.83203125" bestFit="1" customWidth="1"/>
    <col min="12" max="12" width="12.1640625" bestFit="1" customWidth="1"/>
    <col min="13" max="13" width="11.5" bestFit="1" customWidth="1"/>
    <col min="14" max="14" width="16" bestFit="1" customWidth="1"/>
    <col min="15" max="15" width="12.1640625" style="5" bestFit="1" customWidth="1"/>
    <col min="16" max="16" width="14.33203125" style="6" bestFit="1" customWidth="1"/>
    <col min="17" max="17" width="17.1640625" bestFit="1" customWidth="1"/>
    <col min="18" max="18" width="14.6640625" bestFit="1" customWidth="1"/>
    <col min="19" max="19" width="14.6640625" style="7" customWidth="1"/>
    <col min="20" max="20" width="14.83203125" style="7" customWidth="1"/>
    <col min="21" max="21" width="15.1640625" style="9" customWidth="1"/>
    <col min="22" max="22" width="31.1640625" style="8" customWidth="1"/>
    <col min="23" max="23" width="36" customWidth="1"/>
    <col min="24" max="24" width="36.33203125" customWidth="1"/>
    <col min="26" max="26" width="17.5" customWidth="1"/>
  </cols>
  <sheetData>
    <row r="1" spans="1:27" ht="31" customHeight="1" x14ac:dyDescent="0.2">
      <c r="A1" s="25" t="s">
        <v>0</v>
      </c>
      <c r="B1" s="25" t="s">
        <v>1</v>
      </c>
      <c r="C1" s="25" t="s">
        <v>2</v>
      </c>
      <c r="D1" s="25" t="s">
        <v>3</v>
      </c>
      <c r="E1" s="25" t="s">
        <v>4</v>
      </c>
      <c r="F1" s="25" t="s">
        <v>5</v>
      </c>
      <c r="G1" s="25" t="s">
        <v>6</v>
      </c>
      <c r="H1" s="27" t="s">
        <v>7</v>
      </c>
      <c r="I1" s="28" t="s">
        <v>8</v>
      </c>
      <c r="J1" s="28" t="s">
        <v>9</v>
      </c>
      <c r="K1" s="25" t="s">
        <v>10</v>
      </c>
      <c r="L1" s="25" t="s">
        <v>11</v>
      </c>
      <c r="M1" s="25" t="s">
        <v>12</v>
      </c>
      <c r="N1" s="25" t="s">
        <v>13</v>
      </c>
      <c r="O1" s="29" t="s">
        <v>14</v>
      </c>
      <c r="P1" s="30" t="s">
        <v>15</v>
      </c>
      <c r="Q1" s="25" t="s">
        <v>16</v>
      </c>
      <c r="R1" s="25" t="s">
        <v>17</v>
      </c>
      <c r="S1" s="23" t="s">
        <v>265</v>
      </c>
      <c r="T1" s="23" t="s">
        <v>266</v>
      </c>
      <c r="U1" s="24" t="s">
        <v>272</v>
      </c>
      <c r="V1" s="25" t="s">
        <v>18</v>
      </c>
      <c r="W1" s="25" t="s">
        <v>19</v>
      </c>
      <c r="X1" s="25" t="s">
        <v>20</v>
      </c>
      <c r="Y1" s="25" t="s">
        <v>262</v>
      </c>
      <c r="Z1" s="26" t="s">
        <v>263</v>
      </c>
      <c r="AA1" s="25" t="s">
        <v>264</v>
      </c>
    </row>
    <row r="2" spans="1:27" ht="34" x14ac:dyDescent="0.2">
      <c r="A2" s="1" t="s">
        <v>89</v>
      </c>
      <c r="B2" s="11">
        <v>46027</v>
      </c>
      <c r="C2" s="1" t="s">
        <v>30</v>
      </c>
      <c r="D2" s="1" t="s">
        <v>54</v>
      </c>
      <c r="E2">
        <v>184</v>
      </c>
      <c r="F2">
        <v>7306.27</v>
      </c>
      <c r="G2">
        <v>619</v>
      </c>
      <c r="H2" s="4">
        <v>-0.18337999999999999</v>
      </c>
      <c r="I2" s="3">
        <v>8.1519999999999995E-2</v>
      </c>
      <c r="J2" s="3">
        <v>3.8039999999999997E-2</v>
      </c>
      <c r="K2">
        <v>46.23</v>
      </c>
      <c r="L2">
        <v>4.1500000000000004</v>
      </c>
      <c r="M2">
        <v>14.83</v>
      </c>
      <c r="N2">
        <v>0.11957</v>
      </c>
      <c r="O2" s="5">
        <v>58.905985030339998</v>
      </c>
      <c r="P2" s="6">
        <v>12</v>
      </c>
      <c r="Q2" s="1" t="s">
        <v>44</v>
      </c>
      <c r="R2" s="1" t="s">
        <v>59</v>
      </c>
      <c r="S2" s="7" cm="1">
        <f t="array" ref="S2">_xlfn.SWITCH(tblSMB[[#This Row],[segment]],
"At Risk",1,
"Ops Constrained",2,
"Ad Inefficient",3,
"High Potential",4,
"Core",5,99)</f>
        <v>1</v>
      </c>
      <c r="T2" s="7" t="str" cm="1">
        <f t="array" ref="T2">_xlfn.SWITCH(tblSMB[[#This Row],[segment]],
"At Risk","48 hours",
"Ops Constrained","72 hours",
"Ad Inefficient","1 week",
"High Potential","1 week",
"Core","2 weeks","")</f>
        <v>48 hours</v>
      </c>
      <c r="U2" s="9" t="str">
        <f>IF(AND(tblSMB[[#This Row],[segment]]&lt;&gt;"Ad Inefficient",tblSMB[[#This Row],[roas]]&lt;10),"Check: Low ROAS not flagged","")</f>
        <v/>
      </c>
      <c r="V2" s="10" t="s">
        <v>60</v>
      </c>
      <c r="W2" s="10" t="s">
        <v>61</v>
      </c>
      <c r="X2" s="10" t="s">
        <v>62</v>
      </c>
      <c r="Y2" s="2"/>
      <c r="AA2" s="1"/>
    </row>
    <row r="3" spans="1:27" ht="34" x14ac:dyDescent="0.2">
      <c r="A3" s="1" t="s">
        <v>208</v>
      </c>
      <c r="B3" s="11">
        <v>46027</v>
      </c>
      <c r="C3" s="1" t="s">
        <v>30</v>
      </c>
      <c r="D3" s="1" t="s">
        <v>54</v>
      </c>
      <c r="E3">
        <v>254</v>
      </c>
      <c r="F3">
        <v>10174.99</v>
      </c>
      <c r="G3">
        <v>891</v>
      </c>
      <c r="H3" s="4">
        <v>-0.12733</v>
      </c>
      <c r="I3" s="3">
        <v>7.8740000000000004E-2</v>
      </c>
      <c r="J3" s="3">
        <v>3.5430000000000003E-2</v>
      </c>
      <c r="K3">
        <v>45.52</v>
      </c>
      <c r="L3">
        <v>4.13</v>
      </c>
      <c r="M3">
        <v>47.27</v>
      </c>
      <c r="N3">
        <v>0.12598000000000001</v>
      </c>
      <c r="O3" s="5">
        <v>27.118436894439998</v>
      </c>
      <c r="P3" s="6">
        <v>16</v>
      </c>
      <c r="Q3" s="1" t="s">
        <v>44</v>
      </c>
      <c r="R3" s="1" t="s">
        <v>59</v>
      </c>
      <c r="S3" s="7" cm="1">
        <f t="array" ref="S3">_xlfn.SWITCH(tblSMB[[#This Row],[segment]],
"At Risk",1,
"Ops Constrained",2,
"Ad Inefficient",3,
"High Potential",4,
"Core",5,99)</f>
        <v>1</v>
      </c>
      <c r="T3" s="7" t="str" cm="1">
        <f t="array" ref="T3">_xlfn.SWITCH(tblSMB[[#This Row],[segment]],
"At Risk","48 hours",
"Ops Constrained","72 hours",
"Ad Inefficient","1 week",
"High Potential","1 week",
"Core","2 weeks","")</f>
        <v>48 hours</v>
      </c>
      <c r="U3" s="9" t="str">
        <f>IF(AND(tblSMB[[#This Row],[segment]]&lt;&gt;"Ad Inefficient",tblSMB[[#This Row],[roas]]&lt;10),"Check: Low ROAS not flagged","")</f>
        <v/>
      </c>
      <c r="V3" s="10" t="s">
        <v>60</v>
      </c>
      <c r="W3" s="10" t="s">
        <v>61</v>
      </c>
      <c r="X3" s="10" t="s">
        <v>62</v>
      </c>
      <c r="Y3" s="2"/>
      <c r="AA3" s="1"/>
    </row>
    <row r="4" spans="1:27" ht="34" x14ac:dyDescent="0.2">
      <c r="A4" s="1" t="s">
        <v>122</v>
      </c>
      <c r="B4" s="11">
        <v>46027</v>
      </c>
      <c r="C4" s="1" t="s">
        <v>57</v>
      </c>
      <c r="D4" s="1" t="s">
        <v>43</v>
      </c>
      <c r="E4">
        <v>137</v>
      </c>
      <c r="F4">
        <v>3949.98</v>
      </c>
      <c r="G4">
        <v>575</v>
      </c>
      <c r="H4" s="4">
        <v>-0.14179</v>
      </c>
      <c r="I4" s="3">
        <v>6.5689999999999998E-2</v>
      </c>
      <c r="J4" s="3">
        <v>2.92E-2</v>
      </c>
      <c r="K4">
        <v>28.96</v>
      </c>
      <c r="L4">
        <v>4.1399999999999997</v>
      </c>
      <c r="M4">
        <v>22.67</v>
      </c>
      <c r="N4">
        <v>0.10219</v>
      </c>
      <c r="O4" s="5">
        <v>17.805363652400001</v>
      </c>
      <c r="P4" s="6">
        <v>23</v>
      </c>
      <c r="Q4" s="1" t="s">
        <v>44</v>
      </c>
      <c r="R4" s="1" t="s">
        <v>59</v>
      </c>
      <c r="S4" s="7" cm="1">
        <f t="array" ref="S4">_xlfn.SWITCH(tblSMB[[#This Row],[segment]],
"At Risk",1,
"Ops Constrained",2,
"Ad Inefficient",3,
"High Potential",4,
"Core",5,99)</f>
        <v>1</v>
      </c>
      <c r="T4" s="7" t="str" cm="1">
        <f t="array" ref="T4">_xlfn.SWITCH(tblSMB[[#This Row],[segment]],
"At Risk","48 hours",
"Ops Constrained","72 hours",
"Ad Inefficient","1 week",
"High Potential","1 week",
"Core","2 weeks","")</f>
        <v>48 hours</v>
      </c>
      <c r="U4" s="9" t="str">
        <f>IF(AND(tblSMB[[#This Row],[segment]]&lt;&gt;"Ad Inefficient",tblSMB[[#This Row],[roas]]&lt;10),"Check: Low ROAS not flagged","")</f>
        <v/>
      </c>
      <c r="V4" s="10" t="s">
        <v>60</v>
      </c>
      <c r="W4" s="10" t="s">
        <v>61</v>
      </c>
      <c r="X4" s="10" t="s">
        <v>62</v>
      </c>
      <c r="Y4" s="2"/>
      <c r="AA4" s="1"/>
    </row>
    <row r="5" spans="1:27" ht="34" x14ac:dyDescent="0.2">
      <c r="A5" s="1" t="s">
        <v>143</v>
      </c>
      <c r="B5" s="11">
        <v>46027</v>
      </c>
      <c r="C5" s="1" t="s">
        <v>37</v>
      </c>
      <c r="D5" s="1" t="s">
        <v>58</v>
      </c>
      <c r="E5">
        <v>168</v>
      </c>
      <c r="F5">
        <v>2964.12</v>
      </c>
      <c r="G5">
        <v>649</v>
      </c>
      <c r="H5" s="4">
        <v>-0.15933</v>
      </c>
      <c r="I5" s="3">
        <v>5.9520000000000003E-2</v>
      </c>
      <c r="J5" s="3">
        <v>2.9760000000000002E-2</v>
      </c>
      <c r="K5">
        <v>31.27</v>
      </c>
      <c r="L5">
        <v>4.51</v>
      </c>
      <c r="M5">
        <v>27.37</v>
      </c>
      <c r="N5">
        <v>0.17262</v>
      </c>
      <c r="O5" s="5">
        <v>18.69432075265</v>
      </c>
      <c r="P5" s="6">
        <v>23</v>
      </c>
      <c r="Q5" s="1" t="s">
        <v>44</v>
      </c>
      <c r="R5" s="1" t="s">
        <v>59</v>
      </c>
      <c r="S5" s="7" cm="1">
        <f t="array" ref="S5">_xlfn.SWITCH(tblSMB[[#This Row],[segment]],
"At Risk",1,
"Ops Constrained",2,
"Ad Inefficient",3,
"High Potential",4,
"Core",5,99)</f>
        <v>1</v>
      </c>
      <c r="T5" s="7" t="str" cm="1">
        <f t="array" ref="T5">_xlfn.SWITCH(tblSMB[[#This Row],[segment]],
"At Risk","48 hours",
"Ops Constrained","72 hours",
"Ad Inefficient","1 week",
"High Potential","1 week",
"Core","2 weeks","")</f>
        <v>48 hours</v>
      </c>
      <c r="U5" s="9" t="str">
        <f>IF(AND(tblSMB[[#This Row],[segment]]&lt;&gt;"Ad Inefficient",tblSMB[[#This Row],[roas]]&lt;10),"Check: Low ROAS not flagged","")</f>
        <v/>
      </c>
      <c r="V5" s="10" t="s">
        <v>60</v>
      </c>
      <c r="W5" s="10" t="s">
        <v>61</v>
      </c>
      <c r="X5" s="10" t="s">
        <v>62</v>
      </c>
      <c r="Y5" s="2"/>
      <c r="AA5" s="1"/>
    </row>
    <row r="6" spans="1:27" ht="34" x14ac:dyDescent="0.2">
      <c r="A6" s="1" t="s">
        <v>80</v>
      </c>
      <c r="B6" s="11">
        <v>46027</v>
      </c>
      <c r="C6" s="1" t="s">
        <v>57</v>
      </c>
      <c r="D6" s="1" t="s">
        <v>23</v>
      </c>
      <c r="E6">
        <v>98</v>
      </c>
      <c r="F6">
        <v>2265.31</v>
      </c>
      <c r="G6">
        <v>424</v>
      </c>
      <c r="H6" s="4">
        <v>-0.15706000000000001</v>
      </c>
      <c r="I6" s="3">
        <v>5.1020000000000003E-2</v>
      </c>
      <c r="J6" s="3">
        <v>3.0609999999999998E-2</v>
      </c>
      <c r="K6">
        <v>34.020000000000003</v>
      </c>
      <c r="L6">
        <v>4.43</v>
      </c>
      <c r="M6">
        <v>12.13</v>
      </c>
      <c r="N6">
        <v>7.1429999999999993E-2</v>
      </c>
      <c r="O6" s="5">
        <v>13.33947699918</v>
      </c>
      <c r="P6" s="6">
        <v>24</v>
      </c>
      <c r="Q6" s="1" t="s">
        <v>55</v>
      </c>
      <c r="R6" s="1" t="s">
        <v>59</v>
      </c>
      <c r="S6" s="7" cm="1">
        <f t="array" ref="S6">_xlfn.SWITCH(tblSMB[[#This Row],[segment]],
"At Risk",1,
"Ops Constrained",2,
"Ad Inefficient",3,
"High Potential",4,
"Core",5,99)</f>
        <v>1</v>
      </c>
      <c r="T6" s="7" t="str" cm="1">
        <f t="array" ref="T6">_xlfn.SWITCH(tblSMB[[#This Row],[segment]],
"At Risk","48 hours",
"Ops Constrained","72 hours",
"Ad Inefficient","1 week",
"High Potential","1 week",
"Core","2 weeks","")</f>
        <v>48 hours</v>
      </c>
      <c r="U6" s="9" t="str">
        <f>IF(AND(tblSMB[[#This Row],[segment]]&lt;&gt;"Ad Inefficient",tblSMB[[#This Row],[roas]]&lt;10),"Check: Low ROAS not flagged","")</f>
        <v/>
      </c>
      <c r="V6" s="10" t="s">
        <v>60</v>
      </c>
      <c r="W6" s="10" t="s">
        <v>61</v>
      </c>
      <c r="X6" s="10" t="s">
        <v>62</v>
      </c>
      <c r="Y6" s="2"/>
      <c r="AA6" s="1"/>
    </row>
    <row r="7" spans="1:27" ht="34" x14ac:dyDescent="0.2">
      <c r="A7" s="1" t="s">
        <v>156</v>
      </c>
      <c r="B7" s="11">
        <v>46027</v>
      </c>
      <c r="C7" s="1" t="s">
        <v>50</v>
      </c>
      <c r="D7" s="1" t="s">
        <v>38</v>
      </c>
      <c r="E7">
        <v>91</v>
      </c>
      <c r="F7">
        <v>2914.91</v>
      </c>
      <c r="G7">
        <v>323</v>
      </c>
      <c r="H7" s="4">
        <v>-0.15884999999999999</v>
      </c>
      <c r="I7" s="3">
        <v>5.4949999999999999E-2</v>
      </c>
      <c r="J7" s="3">
        <v>3.2969999999999999E-2</v>
      </c>
      <c r="K7">
        <v>30.44</v>
      </c>
      <c r="L7">
        <v>4.67</v>
      </c>
      <c r="M7">
        <v>30.76</v>
      </c>
      <c r="N7">
        <v>0.14285999999999999</v>
      </c>
      <c r="O7" s="5">
        <v>13.53757197659</v>
      </c>
      <c r="P7" s="6">
        <v>25</v>
      </c>
      <c r="Q7" s="1" t="s">
        <v>65</v>
      </c>
      <c r="R7" s="1" t="s">
        <v>59</v>
      </c>
      <c r="S7" s="7" cm="1">
        <f t="array" ref="S7">_xlfn.SWITCH(tblSMB[[#This Row],[segment]],
"At Risk",1,
"Ops Constrained",2,
"Ad Inefficient",3,
"High Potential",4,
"Core",5,99)</f>
        <v>1</v>
      </c>
      <c r="T7" s="7" t="str" cm="1">
        <f t="array" ref="T7">_xlfn.SWITCH(tblSMB[[#This Row],[segment]],
"At Risk","48 hours",
"Ops Constrained","72 hours",
"Ad Inefficient","1 week",
"High Potential","1 week",
"Core","2 weeks","")</f>
        <v>48 hours</v>
      </c>
      <c r="U7" s="9" t="str">
        <f>IF(AND(tblSMB[[#This Row],[segment]]&lt;&gt;"Ad Inefficient",tblSMB[[#This Row],[roas]]&lt;10),"Check: Low ROAS not flagged","")</f>
        <v/>
      </c>
      <c r="V7" s="10" t="s">
        <v>60</v>
      </c>
      <c r="W7" s="10" t="s">
        <v>61</v>
      </c>
      <c r="X7" s="10" t="s">
        <v>62</v>
      </c>
      <c r="Y7" s="2"/>
      <c r="AA7" s="1"/>
    </row>
    <row r="8" spans="1:27" ht="34" x14ac:dyDescent="0.2">
      <c r="A8" s="1" t="s">
        <v>82</v>
      </c>
      <c r="B8" s="11">
        <v>46027</v>
      </c>
      <c r="C8" s="1" t="s">
        <v>30</v>
      </c>
      <c r="D8" s="1" t="s">
        <v>23</v>
      </c>
      <c r="E8">
        <v>184</v>
      </c>
      <c r="F8">
        <v>4116.01</v>
      </c>
      <c r="G8">
        <v>806</v>
      </c>
      <c r="H8" s="4">
        <v>-0.17077999999999999</v>
      </c>
      <c r="I8" s="3">
        <v>4.8910000000000002E-2</v>
      </c>
      <c r="J8" s="3">
        <v>3.261E-2</v>
      </c>
      <c r="K8">
        <v>33.28</v>
      </c>
      <c r="L8">
        <v>4.4400000000000004</v>
      </c>
      <c r="M8">
        <v>13</v>
      </c>
      <c r="N8">
        <v>7.0650000000000004E-2</v>
      </c>
      <c r="O8" s="5">
        <v>22.369620000000001</v>
      </c>
      <c r="P8" s="6">
        <v>26</v>
      </c>
      <c r="Q8" s="1" t="s">
        <v>65</v>
      </c>
      <c r="R8" s="1" t="s">
        <v>59</v>
      </c>
      <c r="S8" s="7" cm="1">
        <f t="array" ref="S8">_xlfn.SWITCH(tblSMB[[#This Row],[segment]],
"At Risk",1,
"Ops Constrained",2,
"Ad Inefficient",3,
"High Potential",4,
"Core",5,99)</f>
        <v>1</v>
      </c>
      <c r="T8" s="7" t="str" cm="1">
        <f t="array" ref="T8">_xlfn.SWITCH(tblSMB[[#This Row],[segment]],
"At Risk","48 hours",
"Ops Constrained","72 hours",
"Ad Inefficient","1 week",
"High Potential","1 week",
"Core","2 weeks","")</f>
        <v>48 hours</v>
      </c>
      <c r="U8" s="9" t="str">
        <f>IF(AND(tblSMB[[#This Row],[segment]]&lt;&gt;"Ad Inefficient",tblSMB[[#This Row],[roas]]&lt;10),"Check: Low ROAS not flagged","")</f>
        <v/>
      </c>
      <c r="V8" s="10" t="s">
        <v>60</v>
      </c>
      <c r="W8" s="10" t="s">
        <v>61</v>
      </c>
      <c r="X8" s="10" t="s">
        <v>62</v>
      </c>
      <c r="Y8" s="2"/>
      <c r="AA8" s="1"/>
    </row>
    <row r="9" spans="1:27" ht="34" x14ac:dyDescent="0.2">
      <c r="A9" s="1" t="s">
        <v>160</v>
      </c>
      <c r="B9" s="11">
        <v>46027</v>
      </c>
      <c r="C9" s="1" t="s">
        <v>37</v>
      </c>
      <c r="D9" s="1" t="s">
        <v>43</v>
      </c>
      <c r="E9">
        <v>153</v>
      </c>
      <c r="F9">
        <v>5119.26</v>
      </c>
      <c r="G9">
        <v>662</v>
      </c>
      <c r="H9" s="4">
        <v>-0.15345</v>
      </c>
      <c r="I9" s="3">
        <v>5.8819999999999997E-2</v>
      </c>
      <c r="J9" s="3">
        <v>2.614E-2</v>
      </c>
      <c r="K9">
        <v>32.380000000000003</v>
      </c>
      <c r="L9">
        <v>4.5199999999999996</v>
      </c>
      <c r="M9">
        <v>31.31</v>
      </c>
      <c r="N9">
        <v>0.12418</v>
      </c>
      <c r="O9" s="5">
        <v>20.304219227080001</v>
      </c>
      <c r="P9" s="6">
        <v>26</v>
      </c>
      <c r="Q9" s="1" t="s">
        <v>44</v>
      </c>
      <c r="R9" s="1" t="s">
        <v>59</v>
      </c>
      <c r="S9" s="7" cm="1">
        <f t="array" ref="S9">_xlfn.SWITCH(tblSMB[[#This Row],[segment]],
"At Risk",1,
"Ops Constrained",2,
"Ad Inefficient",3,
"High Potential",4,
"Core",5,99)</f>
        <v>1</v>
      </c>
      <c r="T9" s="7" t="str" cm="1">
        <f t="array" ref="T9">_xlfn.SWITCH(tblSMB[[#This Row],[segment]],
"At Risk","48 hours",
"Ops Constrained","72 hours",
"Ad Inefficient","1 week",
"High Potential","1 week",
"Core","2 weeks","")</f>
        <v>48 hours</v>
      </c>
      <c r="U9" s="9" t="str">
        <f>IF(AND(tblSMB[[#This Row],[segment]]&lt;&gt;"Ad Inefficient",tblSMB[[#This Row],[roas]]&lt;10),"Check: Low ROAS not flagged","")</f>
        <v/>
      </c>
      <c r="V9" s="10" t="s">
        <v>60</v>
      </c>
      <c r="W9" s="10" t="s">
        <v>61</v>
      </c>
      <c r="X9" s="10" t="s">
        <v>62</v>
      </c>
      <c r="Y9" s="2"/>
      <c r="AA9" s="1"/>
    </row>
    <row r="10" spans="1:27" ht="34" x14ac:dyDescent="0.2">
      <c r="A10" s="1" t="s">
        <v>225</v>
      </c>
      <c r="B10" s="11">
        <v>46027</v>
      </c>
      <c r="C10" s="1" t="s">
        <v>68</v>
      </c>
      <c r="D10" s="1" t="s">
        <v>54</v>
      </c>
      <c r="E10">
        <v>142</v>
      </c>
      <c r="F10">
        <v>5696.05</v>
      </c>
      <c r="G10">
        <v>540</v>
      </c>
      <c r="H10" s="4">
        <v>-7.85E-2</v>
      </c>
      <c r="I10" s="3">
        <v>6.3380000000000006E-2</v>
      </c>
      <c r="J10" s="3">
        <v>2.8170000000000001E-2</v>
      </c>
      <c r="K10">
        <v>45.58</v>
      </c>
      <c r="L10">
        <v>4.25</v>
      </c>
      <c r="M10">
        <v>54.99</v>
      </c>
      <c r="N10">
        <v>0.11971999999999999</v>
      </c>
      <c r="O10" s="5">
        <v>12.40082698672</v>
      </c>
      <c r="P10" s="6">
        <v>26</v>
      </c>
      <c r="Q10" s="1" t="s">
        <v>44</v>
      </c>
      <c r="R10" s="1" t="s">
        <v>59</v>
      </c>
      <c r="S10" s="7" cm="1">
        <f t="array" ref="S10">_xlfn.SWITCH(tblSMB[[#This Row],[segment]],
"At Risk",1,
"Ops Constrained",2,
"Ad Inefficient",3,
"High Potential",4,
"Core",5,99)</f>
        <v>1</v>
      </c>
      <c r="T10" s="7" t="str" cm="1">
        <f t="array" ref="T10">_xlfn.SWITCH(tblSMB[[#This Row],[segment]],
"At Risk","48 hours",
"Ops Constrained","72 hours",
"Ad Inefficient","1 week",
"High Potential","1 week",
"Core","2 weeks","")</f>
        <v>48 hours</v>
      </c>
      <c r="U10" s="9" t="str">
        <f>IF(AND(tblSMB[[#This Row],[segment]]&lt;&gt;"Ad Inefficient",tblSMB[[#This Row],[roas]]&lt;10),"Check: Low ROAS not flagged","")</f>
        <v/>
      </c>
      <c r="V10" s="10" t="s">
        <v>60</v>
      </c>
      <c r="W10" s="10" t="s">
        <v>61</v>
      </c>
      <c r="X10" s="10" t="s">
        <v>62</v>
      </c>
      <c r="Y10" s="2"/>
      <c r="AA10" s="1"/>
    </row>
    <row r="11" spans="1:27" ht="34" x14ac:dyDescent="0.2">
      <c r="A11" s="1" t="s">
        <v>56</v>
      </c>
      <c r="B11" s="11">
        <v>46027</v>
      </c>
      <c r="C11" s="1" t="s">
        <v>57</v>
      </c>
      <c r="D11" s="1" t="s">
        <v>58</v>
      </c>
      <c r="E11">
        <v>105</v>
      </c>
      <c r="F11">
        <v>2034.58</v>
      </c>
      <c r="G11">
        <v>350</v>
      </c>
      <c r="H11" s="4">
        <v>-0.16667000000000001</v>
      </c>
      <c r="I11" s="3">
        <v>5.7140000000000003E-2</v>
      </c>
      <c r="J11" s="3">
        <v>2.8570000000000002E-2</v>
      </c>
      <c r="K11">
        <v>33.14</v>
      </c>
      <c r="L11">
        <v>4.6500000000000004</v>
      </c>
      <c r="M11">
        <v>9.5500000000000007</v>
      </c>
      <c r="N11">
        <v>0.13333</v>
      </c>
      <c r="O11" s="5">
        <v>28.406002931940002</v>
      </c>
      <c r="P11" s="6">
        <v>28</v>
      </c>
      <c r="Q11" s="1" t="s">
        <v>41</v>
      </c>
      <c r="R11" s="1" t="s">
        <v>59</v>
      </c>
      <c r="S11" s="7" cm="1">
        <f t="array" ref="S11">_xlfn.SWITCH(tblSMB[[#This Row],[segment]],
"At Risk",1,
"Ops Constrained",2,
"Ad Inefficient",3,
"High Potential",4,
"Core",5,99)</f>
        <v>1</v>
      </c>
      <c r="T11" s="7" t="str" cm="1">
        <f t="array" ref="T11">_xlfn.SWITCH(tblSMB[[#This Row],[segment]],
"At Risk","48 hours",
"Ops Constrained","72 hours",
"Ad Inefficient","1 week",
"High Potential","1 week",
"Core","2 weeks","")</f>
        <v>48 hours</v>
      </c>
      <c r="U11" s="9" t="str">
        <f>IF(AND(tblSMB[[#This Row],[segment]]&lt;&gt;"Ad Inefficient",tblSMB[[#This Row],[roas]]&lt;10),"Check: Low ROAS not flagged","")</f>
        <v/>
      </c>
      <c r="V11" s="10" t="s">
        <v>60</v>
      </c>
      <c r="W11" s="10" t="s">
        <v>61</v>
      </c>
      <c r="X11" s="10" t="s">
        <v>62</v>
      </c>
      <c r="Y11" s="2"/>
      <c r="AA11" s="1"/>
    </row>
    <row r="12" spans="1:27" ht="34" x14ac:dyDescent="0.2">
      <c r="A12" s="1" t="s">
        <v>215</v>
      </c>
      <c r="B12" s="11">
        <v>46027</v>
      </c>
      <c r="C12" s="1" t="s">
        <v>53</v>
      </c>
      <c r="D12" s="1" t="s">
        <v>23</v>
      </c>
      <c r="E12">
        <v>121</v>
      </c>
      <c r="F12">
        <v>2614.08</v>
      </c>
      <c r="G12">
        <v>408</v>
      </c>
      <c r="H12" s="4">
        <v>-0.10722</v>
      </c>
      <c r="I12" s="3">
        <v>5.7849999999999999E-2</v>
      </c>
      <c r="J12" s="3">
        <v>3.3059999999999999E-2</v>
      </c>
      <c r="K12">
        <v>27.6</v>
      </c>
      <c r="L12">
        <v>4.3600000000000003</v>
      </c>
      <c r="M12">
        <v>51.6</v>
      </c>
      <c r="N12">
        <v>0.14876</v>
      </c>
      <c r="O12" s="5">
        <v>7.5362675581399996</v>
      </c>
      <c r="P12" s="6">
        <v>28</v>
      </c>
      <c r="Q12" s="1" t="s">
        <v>44</v>
      </c>
      <c r="R12" s="1" t="s">
        <v>59</v>
      </c>
      <c r="S12" s="7" cm="1">
        <f t="array" ref="S12">_xlfn.SWITCH(tblSMB[[#This Row],[segment]],
"At Risk",1,
"Ops Constrained",2,
"Ad Inefficient",3,
"High Potential",4,
"Core",5,99)</f>
        <v>1</v>
      </c>
      <c r="T12" s="7" t="str" cm="1">
        <f t="array" ref="T12">_xlfn.SWITCH(tblSMB[[#This Row],[segment]],
"At Risk","48 hours",
"Ops Constrained","72 hours",
"Ad Inefficient","1 week",
"High Potential","1 week",
"Core","2 weeks","")</f>
        <v>48 hours</v>
      </c>
      <c r="U12" s="9" t="str">
        <f>IF(AND(tblSMB[[#This Row],[segment]]&lt;&gt;"Ad Inefficient",tblSMB[[#This Row],[roas]]&lt;10),"Check: Low ROAS not flagged","")</f>
        <v>Check: Low ROAS not flagged</v>
      </c>
      <c r="V12" s="10" t="s">
        <v>60</v>
      </c>
      <c r="W12" s="10" t="s">
        <v>61</v>
      </c>
      <c r="X12" s="10" t="s">
        <v>62</v>
      </c>
      <c r="Y12" s="2"/>
      <c r="AA12" s="1"/>
    </row>
    <row r="13" spans="1:27" ht="34" x14ac:dyDescent="0.2">
      <c r="A13" s="1" t="s">
        <v>69</v>
      </c>
      <c r="B13" s="11">
        <v>46027</v>
      </c>
      <c r="C13" s="1" t="s">
        <v>57</v>
      </c>
      <c r="D13" s="1" t="s">
        <v>58</v>
      </c>
      <c r="E13">
        <v>192</v>
      </c>
      <c r="F13">
        <v>3297.37</v>
      </c>
      <c r="G13">
        <v>733</v>
      </c>
      <c r="H13" s="4">
        <v>-0.12321</v>
      </c>
      <c r="I13" s="3">
        <v>5.2080000000000001E-2</v>
      </c>
      <c r="J13" s="3">
        <v>3.125E-2</v>
      </c>
      <c r="K13">
        <v>33.200000000000003</v>
      </c>
      <c r="L13">
        <v>4.33</v>
      </c>
      <c r="M13">
        <v>10.96</v>
      </c>
      <c r="N13">
        <v>7.8130000000000005E-2</v>
      </c>
      <c r="O13" s="5">
        <v>23.504291058389999</v>
      </c>
      <c r="P13" s="6">
        <v>30</v>
      </c>
      <c r="Q13" s="1" t="s">
        <v>65</v>
      </c>
      <c r="R13" s="1" t="s">
        <v>59</v>
      </c>
      <c r="S13" s="7" cm="1">
        <f t="array" ref="S13">_xlfn.SWITCH(tblSMB[[#This Row],[segment]],
"At Risk",1,
"Ops Constrained",2,
"Ad Inefficient",3,
"High Potential",4,
"Core",5,99)</f>
        <v>1</v>
      </c>
      <c r="T13" s="7" t="str" cm="1">
        <f t="array" ref="T13">_xlfn.SWITCH(tblSMB[[#This Row],[segment]],
"At Risk","48 hours",
"Ops Constrained","72 hours",
"Ad Inefficient","1 week",
"High Potential","1 week",
"Core","2 weeks","")</f>
        <v>48 hours</v>
      </c>
      <c r="U13" s="9" t="str">
        <f>IF(AND(tblSMB[[#This Row],[segment]]&lt;&gt;"Ad Inefficient",tblSMB[[#This Row],[roas]]&lt;10),"Check: Low ROAS not flagged","")</f>
        <v/>
      </c>
      <c r="V13" s="10" t="s">
        <v>60</v>
      </c>
      <c r="W13" s="10" t="s">
        <v>61</v>
      </c>
      <c r="X13" s="10" t="s">
        <v>62</v>
      </c>
      <c r="Y13" s="2"/>
      <c r="AA13" s="1"/>
    </row>
    <row r="14" spans="1:27" ht="34" x14ac:dyDescent="0.2">
      <c r="A14" s="1" t="s">
        <v>110</v>
      </c>
      <c r="B14" s="11">
        <v>46027</v>
      </c>
      <c r="C14" s="1" t="s">
        <v>79</v>
      </c>
      <c r="D14" s="1" t="s">
        <v>38</v>
      </c>
      <c r="E14">
        <v>132</v>
      </c>
      <c r="F14">
        <v>3291.29</v>
      </c>
      <c r="G14">
        <v>548</v>
      </c>
      <c r="H14" s="4">
        <v>-0.11327</v>
      </c>
      <c r="I14" s="3">
        <v>5.3030000000000001E-2</v>
      </c>
      <c r="J14" s="3">
        <v>3.0300000000000001E-2</v>
      </c>
      <c r="K14">
        <v>33.81</v>
      </c>
      <c r="L14">
        <v>4.21</v>
      </c>
      <c r="M14">
        <v>19.239999999999998</v>
      </c>
      <c r="N14">
        <v>0.10606</v>
      </c>
      <c r="O14" s="5">
        <v>18.143254158000001</v>
      </c>
      <c r="P14" s="6">
        <v>30</v>
      </c>
      <c r="Q14" s="1" t="s">
        <v>65</v>
      </c>
      <c r="R14" s="1" t="s">
        <v>59</v>
      </c>
      <c r="S14" s="7" cm="1">
        <f t="array" ref="S14">_xlfn.SWITCH(tblSMB[[#This Row],[segment]],
"At Risk",1,
"Ops Constrained",2,
"Ad Inefficient",3,
"High Potential",4,
"Core",5,99)</f>
        <v>1</v>
      </c>
      <c r="T14" s="7" t="str" cm="1">
        <f t="array" ref="T14">_xlfn.SWITCH(tblSMB[[#This Row],[segment]],
"At Risk","48 hours",
"Ops Constrained","72 hours",
"Ad Inefficient","1 week",
"High Potential","1 week",
"Core","2 weeks","")</f>
        <v>48 hours</v>
      </c>
      <c r="U14" s="9" t="str">
        <f>IF(AND(tblSMB[[#This Row],[segment]]&lt;&gt;"Ad Inefficient",tblSMB[[#This Row],[roas]]&lt;10),"Check: Low ROAS not flagged","")</f>
        <v/>
      </c>
      <c r="V14" s="10" t="s">
        <v>60</v>
      </c>
      <c r="W14" s="10" t="s">
        <v>61</v>
      </c>
      <c r="X14" s="10" t="s">
        <v>62</v>
      </c>
      <c r="Y14" s="2"/>
      <c r="AA14" s="1"/>
    </row>
    <row r="15" spans="1:27" ht="34" x14ac:dyDescent="0.2">
      <c r="A15" s="1" t="s">
        <v>224</v>
      </c>
      <c r="B15" s="11">
        <v>46027</v>
      </c>
      <c r="C15" s="1" t="s">
        <v>40</v>
      </c>
      <c r="D15" s="1" t="s">
        <v>23</v>
      </c>
      <c r="E15">
        <v>253</v>
      </c>
      <c r="F15">
        <v>6374.18</v>
      </c>
      <c r="G15">
        <v>1000</v>
      </c>
      <c r="H15" s="4">
        <v>-0.11426</v>
      </c>
      <c r="I15" s="3">
        <v>5.534E-2</v>
      </c>
      <c r="J15" s="3">
        <v>2.767E-2</v>
      </c>
      <c r="K15">
        <v>34.979999999999997</v>
      </c>
      <c r="L15">
        <v>4.6100000000000003</v>
      </c>
      <c r="M15">
        <v>54.34</v>
      </c>
      <c r="N15">
        <v>0.10277</v>
      </c>
      <c r="O15" s="5">
        <v>12.05473062201</v>
      </c>
      <c r="P15" s="6">
        <v>30</v>
      </c>
      <c r="Q15" s="1" t="s">
        <v>55</v>
      </c>
      <c r="R15" s="1" t="s">
        <v>59</v>
      </c>
      <c r="S15" s="7" cm="1">
        <f t="array" ref="S15">_xlfn.SWITCH(tblSMB[[#This Row],[segment]],
"At Risk",1,
"Ops Constrained",2,
"Ad Inefficient",3,
"High Potential",4,
"Core",5,99)</f>
        <v>1</v>
      </c>
      <c r="T15" s="7" t="str" cm="1">
        <f t="array" ref="T15">_xlfn.SWITCH(tblSMB[[#This Row],[segment]],
"At Risk","48 hours",
"Ops Constrained","72 hours",
"Ad Inefficient","1 week",
"High Potential","1 week",
"Core","2 weeks","")</f>
        <v>48 hours</v>
      </c>
      <c r="U15" s="9" t="str">
        <f>IF(AND(tblSMB[[#This Row],[segment]]&lt;&gt;"Ad Inefficient",tblSMB[[#This Row],[roas]]&lt;10),"Check: Low ROAS not flagged","")</f>
        <v/>
      </c>
      <c r="V15" s="10" t="s">
        <v>60</v>
      </c>
      <c r="W15" s="10" t="s">
        <v>61</v>
      </c>
      <c r="X15" s="10" t="s">
        <v>62</v>
      </c>
      <c r="Y15" s="2"/>
      <c r="AA15" s="1"/>
    </row>
    <row r="16" spans="1:27" ht="34" x14ac:dyDescent="0.2">
      <c r="A16" s="1" t="s">
        <v>246</v>
      </c>
      <c r="B16" s="11">
        <v>46027</v>
      </c>
      <c r="C16" s="1" t="s">
        <v>53</v>
      </c>
      <c r="D16" s="1" t="s">
        <v>54</v>
      </c>
      <c r="E16">
        <v>275</v>
      </c>
      <c r="F16">
        <v>11183.29</v>
      </c>
      <c r="G16">
        <v>970</v>
      </c>
      <c r="H16" s="4">
        <v>-6.1500000000000001E-3</v>
      </c>
      <c r="I16" s="3">
        <v>7.6359999999999997E-2</v>
      </c>
      <c r="J16" s="3">
        <v>3.6360000000000003E-2</v>
      </c>
      <c r="K16">
        <v>49.76</v>
      </c>
      <c r="L16">
        <v>4.18</v>
      </c>
      <c r="M16">
        <v>79.42</v>
      </c>
      <c r="N16">
        <v>0.13091</v>
      </c>
      <c r="O16" s="5">
        <v>18.433572450260002</v>
      </c>
      <c r="P16" s="6">
        <v>30</v>
      </c>
      <c r="Q16" s="1" t="s">
        <v>44</v>
      </c>
      <c r="R16" s="1" t="s">
        <v>59</v>
      </c>
      <c r="S16" s="7" cm="1">
        <f t="array" ref="S16">_xlfn.SWITCH(tblSMB[[#This Row],[segment]],
"At Risk",1,
"Ops Constrained",2,
"Ad Inefficient",3,
"High Potential",4,
"Core",5,99)</f>
        <v>1</v>
      </c>
      <c r="T16" s="7" t="str" cm="1">
        <f t="array" ref="T16">_xlfn.SWITCH(tblSMB[[#This Row],[segment]],
"At Risk","48 hours",
"Ops Constrained","72 hours",
"Ad Inefficient","1 week",
"High Potential","1 week",
"Core","2 weeks","")</f>
        <v>48 hours</v>
      </c>
      <c r="U16" s="9" t="str">
        <f>IF(AND(tblSMB[[#This Row],[segment]]&lt;&gt;"Ad Inefficient",tblSMB[[#This Row],[roas]]&lt;10),"Check: Low ROAS not flagged","")</f>
        <v/>
      </c>
      <c r="V16" s="10" t="s">
        <v>60</v>
      </c>
      <c r="W16" s="10" t="s">
        <v>61</v>
      </c>
      <c r="X16" s="10" t="s">
        <v>62</v>
      </c>
      <c r="Y16" s="2"/>
      <c r="AA16" s="1"/>
    </row>
    <row r="17" spans="1:27" ht="34" x14ac:dyDescent="0.2">
      <c r="A17" s="1" t="s">
        <v>132</v>
      </c>
      <c r="B17" s="11">
        <v>46027</v>
      </c>
      <c r="C17" s="1" t="s">
        <v>273</v>
      </c>
      <c r="D17" s="1" t="s">
        <v>38</v>
      </c>
      <c r="E17">
        <v>140</v>
      </c>
      <c r="F17">
        <v>3829.45</v>
      </c>
      <c r="G17">
        <v>558</v>
      </c>
      <c r="H17" s="4">
        <v>-0.14939</v>
      </c>
      <c r="I17" s="3">
        <v>4.2860000000000002E-2</v>
      </c>
      <c r="J17" s="3">
        <v>2.8570000000000002E-2</v>
      </c>
      <c r="K17">
        <v>34.869999999999997</v>
      </c>
      <c r="L17">
        <v>4.49</v>
      </c>
      <c r="M17">
        <v>25.34</v>
      </c>
      <c r="N17">
        <v>8.5709999999999995E-2</v>
      </c>
      <c r="O17" s="5">
        <v>12.953376795580001</v>
      </c>
      <c r="P17" s="6">
        <v>31</v>
      </c>
      <c r="Q17" s="1" t="s">
        <v>55</v>
      </c>
      <c r="R17" s="1" t="s">
        <v>59</v>
      </c>
      <c r="S17" s="7" cm="1">
        <f t="array" ref="S17">_xlfn.SWITCH(tblSMB[[#This Row],[segment]],
"At Risk",1,
"Ops Constrained",2,
"Ad Inefficient",3,
"High Potential",4,
"Core",5,99)</f>
        <v>1</v>
      </c>
      <c r="T17" s="7" t="str" cm="1">
        <f t="array" ref="T17">_xlfn.SWITCH(tblSMB[[#This Row],[segment]],
"At Risk","48 hours",
"Ops Constrained","72 hours",
"Ad Inefficient","1 week",
"High Potential","1 week",
"Core","2 weeks","")</f>
        <v>48 hours</v>
      </c>
      <c r="U17" s="9" t="str">
        <f>IF(AND(tblSMB[[#This Row],[segment]]&lt;&gt;"Ad Inefficient",tblSMB[[#This Row],[roas]]&lt;10),"Check: Low ROAS not flagged","")</f>
        <v/>
      </c>
      <c r="V17" s="10" t="s">
        <v>60</v>
      </c>
      <c r="W17" s="10" t="s">
        <v>61</v>
      </c>
      <c r="X17" s="10" t="s">
        <v>62</v>
      </c>
      <c r="Y17" s="2"/>
      <c r="AA17" s="1"/>
    </row>
    <row r="18" spans="1:27" ht="34" x14ac:dyDescent="0.2">
      <c r="A18" s="1" t="s">
        <v>77</v>
      </c>
      <c r="B18" s="11">
        <v>46027</v>
      </c>
      <c r="C18" s="1" t="s">
        <v>37</v>
      </c>
      <c r="D18" s="1" t="s">
        <v>58</v>
      </c>
      <c r="E18">
        <v>144</v>
      </c>
      <c r="F18">
        <v>2445.81</v>
      </c>
      <c r="G18">
        <v>610</v>
      </c>
      <c r="H18" s="4">
        <v>-0.16324</v>
      </c>
      <c r="I18" s="3">
        <v>4.861E-2</v>
      </c>
      <c r="J18" s="3">
        <v>2.7779999999999999E-2</v>
      </c>
      <c r="K18">
        <v>28.32</v>
      </c>
      <c r="L18">
        <v>4.3899999999999997</v>
      </c>
      <c r="M18">
        <v>11.82</v>
      </c>
      <c r="N18">
        <v>8.3330000000000001E-2</v>
      </c>
      <c r="O18" s="5">
        <v>17.243443654819998</v>
      </c>
      <c r="P18" s="6">
        <v>33</v>
      </c>
      <c r="Q18" s="1" t="s">
        <v>41</v>
      </c>
      <c r="R18" s="1" t="s">
        <v>59</v>
      </c>
      <c r="S18" s="7" cm="1">
        <f t="array" ref="S18">_xlfn.SWITCH(tblSMB[[#This Row],[segment]],
"At Risk",1,
"Ops Constrained",2,
"Ad Inefficient",3,
"High Potential",4,
"Core",5,99)</f>
        <v>1</v>
      </c>
      <c r="T18" s="7" t="str" cm="1">
        <f t="array" ref="T18">_xlfn.SWITCH(tblSMB[[#This Row],[segment]],
"At Risk","48 hours",
"Ops Constrained","72 hours",
"Ad Inefficient","1 week",
"High Potential","1 week",
"Core","2 weeks","")</f>
        <v>48 hours</v>
      </c>
      <c r="U18" s="9" t="str">
        <f>IF(AND(tblSMB[[#This Row],[segment]]&lt;&gt;"Ad Inefficient",tblSMB[[#This Row],[roas]]&lt;10),"Check: Low ROAS not flagged","")</f>
        <v/>
      </c>
      <c r="V18" s="10" t="s">
        <v>60</v>
      </c>
      <c r="W18" s="10" t="s">
        <v>61</v>
      </c>
      <c r="X18" s="10" t="s">
        <v>62</v>
      </c>
      <c r="Y18" s="2"/>
      <c r="AA18" s="1"/>
    </row>
    <row r="19" spans="1:27" ht="34" x14ac:dyDescent="0.2">
      <c r="A19" s="1" t="s">
        <v>83</v>
      </c>
      <c r="B19" s="11">
        <v>46027</v>
      </c>
      <c r="C19" s="1" t="s">
        <v>22</v>
      </c>
      <c r="D19" s="1" t="s">
        <v>58</v>
      </c>
      <c r="E19">
        <v>232</v>
      </c>
      <c r="F19">
        <v>4457.88</v>
      </c>
      <c r="G19">
        <v>951</v>
      </c>
      <c r="H19" s="4">
        <v>-0.12912000000000001</v>
      </c>
      <c r="I19" s="3">
        <v>5.1720000000000002E-2</v>
      </c>
      <c r="J19" s="3">
        <v>3.0169999999999999E-2</v>
      </c>
      <c r="K19">
        <v>28.9</v>
      </c>
      <c r="L19">
        <v>4.43</v>
      </c>
      <c r="M19">
        <v>13.15</v>
      </c>
      <c r="N19">
        <v>6.0339999999999998E-2</v>
      </c>
      <c r="O19" s="5">
        <v>20.457034220530002</v>
      </c>
      <c r="P19" s="6">
        <v>33</v>
      </c>
      <c r="Q19" s="1" t="s">
        <v>65</v>
      </c>
      <c r="R19" s="1" t="s">
        <v>59</v>
      </c>
      <c r="S19" s="7" cm="1">
        <f t="array" ref="S19">_xlfn.SWITCH(tblSMB[[#This Row],[segment]],
"At Risk",1,
"Ops Constrained",2,
"Ad Inefficient",3,
"High Potential",4,
"Core",5,99)</f>
        <v>1</v>
      </c>
      <c r="T19" s="7" t="str" cm="1">
        <f t="array" ref="T19">_xlfn.SWITCH(tblSMB[[#This Row],[segment]],
"At Risk","48 hours",
"Ops Constrained","72 hours",
"Ad Inefficient","1 week",
"High Potential","1 week",
"Core","2 weeks","")</f>
        <v>48 hours</v>
      </c>
      <c r="U19" s="9" t="str">
        <f>IF(AND(tblSMB[[#This Row],[segment]]&lt;&gt;"Ad Inefficient",tblSMB[[#This Row],[roas]]&lt;10),"Check: Low ROAS not flagged","")</f>
        <v/>
      </c>
      <c r="V19" s="10" t="s">
        <v>60</v>
      </c>
      <c r="W19" s="10" t="s">
        <v>61</v>
      </c>
      <c r="X19" s="10" t="s">
        <v>62</v>
      </c>
      <c r="Y19" s="2"/>
      <c r="AA19" s="1"/>
    </row>
    <row r="20" spans="1:27" ht="34" x14ac:dyDescent="0.2">
      <c r="A20" s="1" t="s">
        <v>84</v>
      </c>
      <c r="B20" s="11">
        <v>46027</v>
      </c>
      <c r="C20" s="1" t="s">
        <v>273</v>
      </c>
      <c r="D20" s="1" t="s">
        <v>38</v>
      </c>
      <c r="E20">
        <v>113</v>
      </c>
      <c r="F20">
        <v>3522.8</v>
      </c>
      <c r="G20">
        <v>439</v>
      </c>
      <c r="H20" s="4">
        <v>-0.14757000000000001</v>
      </c>
      <c r="I20" s="3">
        <v>5.3100000000000001E-2</v>
      </c>
      <c r="J20" s="3">
        <v>2.6550000000000001E-2</v>
      </c>
      <c r="K20">
        <v>35.31</v>
      </c>
      <c r="L20">
        <v>4.6500000000000004</v>
      </c>
      <c r="M20">
        <v>13.21</v>
      </c>
      <c r="N20">
        <v>0.13274</v>
      </c>
      <c r="O20" s="5">
        <v>35.399569644209997</v>
      </c>
      <c r="P20" s="6">
        <v>33</v>
      </c>
      <c r="Q20" s="1" t="s">
        <v>55</v>
      </c>
      <c r="R20" s="1" t="s">
        <v>59</v>
      </c>
      <c r="S20" s="7" cm="1">
        <f t="array" ref="S20">_xlfn.SWITCH(tblSMB[[#This Row],[segment]],
"At Risk",1,
"Ops Constrained",2,
"Ad Inefficient",3,
"High Potential",4,
"Core",5,99)</f>
        <v>1</v>
      </c>
      <c r="T20" s="7" t="str" cm="1">
        <f t="array" ref="T20">_xlfn.SWITCH(tblSMB[[#This Row],[segment]],
"At Risk","48 hours",
"Ops Constrained","72 hours",
"Ad Inefficient","1 week",
"High Potential","1 week",
"Core","2 weeks","")</f>
        <v>48 hours</v>
      </c>
      <c r="U20" s="9" t="str">
        <f>IF(AND(tblSMB[[#This Row],[segment]]&lt;&gt;"Ad Inefficient",tblSMB[[#This Row],[roas]]&lt;10),"Check: Low ROAS not flagged","")</f>
        <v/>
      </c>
      <c r="V20" s="10" t="s">
        <v>60</v>
      </c>
      <c r="W20" s="10" t="s">
        <v>61</v>
      </c>
      <c r="X20" s="10" t="s">
        <v>62</v>
      </c>
      <c r="Y20" s="2"/>
      <c r="AA20" s="1"/>
    </row>
    <row r="21" spans="1:27" ht="34" x14ac:dyDescent="0.2">
      <c r="A21" s="1" t="s">
        <v>85</v>
      </c>
      <c r="B21" s="11">
        <v>46027</v>
      </c>
      <c r="C21" s="1" t="s">
        <v>37</v>
      </c>
      <c r="D21" s="1" t="s">
        <v>43</v>
      </c>
      <c r="E21">
        <v>76</v>
      </c>
      <c r="F21">
        <v>2723.11</v>
      </c>
      <c r="G21">
        <v>315</v>
      </c>
      <c r="H21" s="4">
        <v>-0.14865</v>
      </c>
      <c r="I21" s="3">
        <v>6.5790000000000001E-2</v>
      </c>
      <c r="J21" s="3">
        <v>2.632E-2</v>
      </c>
      <c r="K21">
        <v>26.18</v>
      </c>
      <c r="L21">
        <v>4.6399999999999997</v>
      </c>
      <c r="M21">
        <v>13.85</v>
      </c>
      <c r="N21">
        <v>0.11842</v>
      </c>
      <c r="O21" s="5">
        <v>23.28328916968</v>
      </c>
      <c r="P21" s="6">
        <v>33</v>
      </c>
      <c r="Q21" s="1" t="s">
        <v>44</v>
      </c>
      <c r="R21" s="1" t="s">
        <v>59</v>
      </c>
      <c r="S21" s="7" cm="1">
        <f t="array" ref="S21">_xlfn.SWITCH(tblSMB[[#This Row],[segment]],
"At Risk",1,
"Ops Constrained",2,
"Ad Inefficient",3,
"High Potential",4,
"Core",5,99)</f>
        <v>1</v>
      </c>
      <c r="T21" s="7" t="str" cm="1">
        <f t="array" ref="T21">_xlfn.SWITCH(tblSMB[[#This Row],[segment]],
"At Risk","48 hours",
"Ops Constrained","72 hours",
"Ad Inefficient","1 week",
"High Potential","1 week",
"Core","2 weeks","")</f>
        <v>48 hours</v>
      </c>
      <c r="U21" s="9" t="str">
        <f>IF(AND(tblSMB[[#This Row],[segment]]&lt;&gt;"Ad Inefficient",tblSMB[[#This Row],[roas]]&lt;10),"Check: Low ROAS not flagged","")</f>
        <v/>
      </c>
      <c r="V21" s="10" t="s">
        <v>60</v>
      </c>
      <c r="W21" s="10" t="s">
        <v>61</v>
      </c>
      <c r="X21" s="10" t="s">
        <v>62</v>
      </c>
      <c r="Y21" s="2"/>
      <c r="AA21" s="1"/>
    </row>
    <row r="22" spans="1:27" ht="34" x14ac:dyDescent="0.2">
      <c r="A22" s="1" t="s">
        <v>152</v>
      </c>
      <c r="B22" s="11">
        <v>46027</v>
      </c>
      <c r="C22" s="1" t="s">
        <v>30</v>
      </c>
      <c r="D22" s="1" t="s">
        <v>54</v>
      </c>
      <c r="E22">
        <v>159</v>
      </c>
      <c r="F22">
        <v>6890.98</v>
      </c>
      <c r="G22">
        <v>528</v>
      </c>
      <c r="H22" s="4">
        <v>-0.04</v>
      </c>
      <c r="I22" s="3">
        <v>7.5469999999999995E-2</v>
      </c>
      <c r="J22" s="3">
        <v>3.1449999999999999E-2</v>
      </c>
      <c r="K22">
        <v>50.86</v>
      </c>
      <c r="L22">
        <v>4.3099999999999996</v>
      </c>
      <c r="M22">
        <v>30.14</v>
      </c>
      <c r="N22">
        <v>0.13208</v>
      </c>
      <c r="O22" s="5">
        <v>30.196729827470001</v>
      </c>
      <c r="P22" s="6">
        <v>33</v>
      </c>
      <c r="Q22" s="1" t="s">
        <v>44</v>
      </c>
      <c r="R22" s="1" t="s">
        <v>59</v>
      </c>
      <c r="S22" s="7" cm="1">
        <f t="array" ref="S22">_xlfn.SWITCH(tblSMB[[#This Row],[segment]],
"At Risk",1,
"Ops Constrained",2,
"Ad Inefficient",3,
"High Potential",4,
"Core",5,99)</f>
        <v>1</v>
      </c>
      <c r="T22" s="7" t="str" cm="1">
        <f t="array" ref="T22">_xlfn.SWITCH(tblSMB[[#This Row],[segment]],
"At Risk","48 hours",
"Ops Constrained","72 hours",
"Ad Inefficient","1 week",
"High Potential","1 week",
"Core","2 weeks","")</f>
        <v>48 hours</v>
      </c>
      <c r="U22" s="9" t="str">
        <f>IF(AND(tblSMB[[#This Row],[segment]]&lt;&gt;"Ad Inefficient",tblSMB[[#This Row],[roas]]&lt;10),"Check: Low ROAS not flagged","")</f>
        <v/>
      </c>
      <c r="V22" s="10" t="s">
        <v>60</v>
      </c>
      <c r="W22" s="10" t="s">
        <v>61</v>
      </c>
      <c r="X22" s="10" t="s">
        <v>62</v>
      </c>
      <c r="Y22" s="2"/>
      <c r="AA22" s="1"/>
    </row>
    <row r="23" spans="1:27" ht="34" x14ac:dyDescent="0.2">
      <c r="A23" s="1" t="s">
        <v>206</v>
      </c>
      <c r="B23" s="11">
        <v>46027</v>
      </c>
      <c r="C23" s="1" t="s">
        <v>53</v>
      </c>
      <c r="D23" s="1" t="s">
        <v>31</v>
      </c>
      <c r="E23">
        <v>222</v>
      </c>
      <c r="F23">
        <v>2929.4</v>
      </c>
      <c r="G23">
        <v>883</v>
      </c>
      <c r="H23" s="4">
        <v>-0.11612</v>
      </c>
      <c r="I23" s="3">
        <v>4.9549999999999997E-2</v>
      </c>
      <c r="J23" s="3">
        <v>3.1530000000000002E-2</v>
      </c>
      <c r="K23">
        <v>28.26</v>
      </c>
      <c r="L23">
        <v>4.4000000000000004</v>
      </c>
      <c r="M23">
        <v>46.14</v>
      </c>
      <c r="N23">
        <v>0.14865</v>
      </c>
      <c r="O23" s="5">
        <v>9.4376102080600006</v>
      </c>
      <c r="P23" s="6">
        <v>33</v>
      </c>
      <c r="Q23" s="1" t="s">
        <v>65</v>
      </c>
      <c r="R23" s="1" t="s">
        <v>59</v>
      </c>
      <c r="S23" s="7" cm="1">
        <f t="array" ref="S23">_xlfn.SWITCH(tblSMB[[#This Row],[segment]],
"At Risk",1,
"Ops Constrained",2,
"Ad Inefficient",3,
"High Potential",4,
"Core",5,99)</f>
        <v>1</v>
      </c>
      <c r="T23" s="7" t="str" cm="1">
        <f t="array" ref="T23">_xlfn.SWITCH(tblSMB[[#This Row],[segment]],
"At Risk","48 hours",
"Ops Constrained","72 hours",
"Ad Inefficient","1 week",
"High Potential","1 week",
"Core","2 weeks","")</f>
        <v>48 hours</v>
      </c>
      <c r="U23" s="9" t="str">
        <f>IF(AND(tblSMB[[#This Row],[segment]]&lt;&gt;"Ad Inefficient",tblSMB[[#This Row],[roas]]&lt;10),"Check: Low ROAS not flagged","")</f>
        <v>Check: Low ROAS not flagged</v>
      </c>
      <c r="V23" s="10" t="s">
        <v>60</v>
      </c>
      <c r="W23" s="10" t="s">
        <v>61</v>
      </c>
      <c r="X23" s="10" t="s">
        <v>62</v>
      </c>
      <c r="Y23" s="2"/>
      <c r="AA23" s="1"/>
    </row>
    <row r="24" spans="1:27" ht="34" x14ac:dyDescent="0.2">
      <c r="A24" s="1" t="s">
        <v>86</v>
      </c>
      <c r="B24" s="11">
        <v>46027</v>
      </c>
      <c r="C24" s="1" t="s">
        <v>22</v>
      </c>
      <c r="D24" s="1" t="s">
        <v>54</v>
      </c>
      <c r="E24">
        <v>102</v>
      </c>
      <c r="F24">
        <v>4125.95</v>
      </c>
      <c r="G24">
        <v>405</v>
      </c>
      <c r="H24" s="4">
        <v>-0.10793</v>
      </c>
      <c r="I24" s="3">
        <v>6.8629999999999997E-2</v>
      </c>
      <c r="J24" s="3">
        <v>1.9609999999999999E-2</v>
      </c>
      <c r="K24">
        <v>47.62</v>
      </c>
      <c r="L24">
        <v>4.49</v>
      </c>
      <c r="M24">
        <v>14.22</v>
      </c>
      <c r="N24">
        <v>0.18626999999999999</v>
      </c>
      <c r="O24" s="5">
        <v>54.047771448660001</v>
      </c>
      <c r="P24" s="6">
        <v>34</v>
      </c>
      <c r="Q24" s="1" t="s">
        <v>44</v>
      </c>
      <c r="R24" s="1" t="s">
        <v>59</v>
      </c>
      <c r="S24" s="7" cm="1">
        <f t="array" ref="S24">_xlfn.SWITCH(tblSMB[[#This Row],[segment]],
"At Risk",1,
"Ops Constrained",2,
"Ad Inefficient",3,
"High Potential",4,
"Core",5,99)</f>
        <v>1</v>
      </c>
      <c r="T24" s="7" t="str" cm="1">
        <f t="array" ref="T24">_xlfn.SWITCH(tblSMB[[#This Row],[segment]],
"At Risk","48 hours",
"Ops Constrained","72 hours",
"Ad Inefficient","1 week",
"High Potential","1 week",
"Core","2 weeks","")</f>
        <v>48 hours</v>
      </c>
      <c r="U24" s="9" t="str">
        <f>IF(AND(tblSMB[[#This Row],[segment]]&lt;&gt;"Ad Inefficient",tblSMB[[#This Row],[roas]]&lt;10),"Check: Low ROAS not flagged","")</f>
        <v/>
      </c>
      <c r="V24" s="10" t="s">
        <v>60</v>
      </c>
      <c r="W24" s="10" t="s">
        <v>61</v>
      </c>
      <c r="X24" s="10" t="s">
        <v>62</v>
      </c>
      <c r="Y24" s="2"/>
      <c r="AA24" s="1"/>
    </row>
    <row r="25" spans="1:27" ht="34" x14ac:dyDescent="0.2">
      <c r="A25" s="1" t="s">
        <v>138</v>
      </c>
      <c r="B25" s="11">
        <v>46027</v>
      </c>
      <c r="C25" s="1" t="s">
        <v>50</v>
      </c>
      <c r="D25" s="1" t="s">
        <v>38</v>
      </c>
      <c r="E25">
        <v>207</v>
      </c>
      <c r="F25">
        <v>6548.9</v>
      </c>
      <c r="G25">
        <v>764</v>
      </c>
      <c r="H25" s="4">
        <v>-6.8290000000000003E-2</v>
      </c>
      <c r="I25" s="3">
        <v>6.2799999999999995E-2</v>
      </c>
      <c r="J25" s="3">
        <v>3.3820000000000003E-2</v>
      </c>
      <c r="K25">
        <v>37.700000000000003</v>
      </c>
      <c r="L25">
        <v>4.53</v>
      </c>
      <c r="M25">
        <v>26.22</v>
      </c>
      <c r="N25">
        <v>0.10628</v>
      </c>
      <c r="O25" s="5">
        <v>26.54532250191</v>
      </c>
      <c r="P25" s="6">
        <v>34</v>
      </c>
      <c r="Q25" s="1" t="s">
        <v>44</v>
      </c>
      <c r="R25" s="1" t="s">
        <v>59</v>
      </c>
      <c r="S25" s="7" cm="1">
        <f t="array" ref="S25">_xlfn.SWITCH(tblSMB[[#This Row],[segment]],
"At Risk",1,
"Ops Constrained",2,
"Ad Inefficient",3,
"High Potential",4,
"Core",5,99)</f>
        <v>1</v>
      </c>
      <c r="T25" s="7" t="str" cm="1">
        <f t="array" ref="T25">_xlfn.SWITCH(tblSMB[[#This Row],[segment]],
"At Risk","48 hours",
"Ops Constrained","72 hours",
"Ad Inefficient","1 week",
"High Potential","1 week",
"Core","2 weeks","")</f>
        <v>48 hours</v>
      </c>
      <c r="U25" s="9" t="str">
        <f>IF(AND(tblSMB[[#This Row],[segment]]&lt;&gt;"Ad Inefficient",tblSMB[[#This Row],[roas]]&lt;10),"Check: Low ROAS not flagged","")</f>
        <v/>
      </c>
      <c r="V25" s="10" t="s">
        <v>60</v>
      </c>
      <c r="W25" s="10" t="s">
        <v>61</v>
      </c>
      <c r="X25" s="10" t="s">
        <v>62</v>
      </c>
      <c r="Y25" s="2"/>
      <c r="AA25" s="1"/>
    </row>
    <row r="26" spans="1:27" ht="34" x14ac:dyDescent="0.2">
      <c r="A26" s="1" t="s">
        <v>234</v>
      </c>
      <c r="B26" s="11">
        <v>46027</v>
      </c>
      <c r="C26" s="1" t="s">
        <v>30</v>
      </c>
      <c r="D26" s="1" t="s">
        <v>54</v>
      </c>
      <c r="E26">
        <v>201</v>
      </c>
      <c r="F26">
        <v>9215.9500000000007</v>
      </c>
      <c r="G26">
        <v>691</v>
      </c>
      <c r="H26" s="4">
        <v>-0.13517000000000001</v>
      </c>
      <c r="I26" s="3">
        <v>5.9700000000000003E-2</v>
      </c>
      <c r="J26" s="3">
        <v>1.9900000000000001E-2</v>
      </c>
      <c r="K26">
        <v>45.45</v>
      </c>
      <c r="L26">
        <v>4.76</v>
      </c>
      <c r="M26">
        <v>61.06</v>
      </c>
      <c r="N26">
        <v>0.17910000000000001</v>
      </c>
      <c r="O26" s="5">
        <v>27.0327207337</v>
      </c>
      <c r="P26" s="6">
        <v>34</v>
      </c>
      <c r="Q26" s="1" t="s">
        <v>44</v>
      </c>
      <c r="R26" s="1" t="s">
        <v>59</v>
      </c>
      <c r="S26" s="7" cm="1">
        <f t="array" ref="S26">_xlfn.SWITCH(tblSMB[[#This Row],[segment]],
"At Risk",1,
"Ops Constrained",2,
"Ad Inefficient",3,
"High Potential",4,
"Core",5,99)</f>
        <v>1</v>
      </c>
      <c r="T26" s="7" t="str" cm="1">
        <f t="array" ref="T26">_xlfn.SWITCH(tblSMB[[#This Row],[segment]],
"At Risk","48 hours",
"Ops Constrained","72 hours",
"Ad Inefficient","1 week",
"High Potential","1 week",
"Core","2 weeks","")</f>
        <v>48 hours</v>
      </c>
      <c r="U26" s="9" t="str">
        <f>IF(AND(tblSMB[[#This Row],[segment]]&lt;&gt;"Ad Inefficient",tblSMB[[#This Row],[roas]]&lt;10),"Check: Low ROAS not flagged","")</f>
        <v/>
      </c>
      <c r="V26" s="10" t="s">
        <v>60</v>
      </c>
      <c r="W26" s="10" t="s">
        <v>61</v>
      </c>
      <c r="X26" s="10" t="s">
        <v>62</v>
      </c>
      <c r="Y26" s="2"/>
      <c r="AA26" s="1"/>
    </row>
    <row r="27" spans="1:27" ht="34" x14ac:dyDescent="0.2">
      <c r="A27" s="1" t="s">
        <v>111</v>
      </c>
      <c r="B27" s="11">
        <v>46027</v>
      </c>
      <c r="C27" s="1" t="s">
        <v>68</v>
      </c>
      <c r="D27" s="1" t="s">
        <v>31</v>
      </c>
      <c r="E27">
        <v>152</v>
      </c>
      <c r="F27">
        <v>2147.3000000000002</v>
      </c>
      <c r="G27">
        <v>610</v>
      </c>
      <c r="H27" s="4">
        <v>-0.24690999999999999</v>
      </c>
      <c r="I27" s="3">
        <v>3.9469999999999998E-2</v>
      </c>
      <c r="J27" s="3">
        <v>2.632E-2</v>
      </c>
      <c r="K27">
        <v>27.61</v>
      </c>
      <c r="L27">
        <v>4.47</v>
      </c>
      <c r="M27">
        <v>19.46</v>
      </c>
      <c r="N27">
        <v>9.2109999999999997E-2</v>
      </c>
      <c r="O27" s="5">
        <v>10.16329064748</v>
      </c>
      <c r="P27" s="6">
        <v>35</v>
      </c>
      <c r="Q27" s="1" t="s">
        <v>100</v>
      </c>
      <c r="R27" s="1" t="s">
        <v>59</v>
      </c>
      <c r="S27" s="7" cm="1">
        <f t="array" ref="S27">_xlfn.SWITCH(tblSMB[[#This Row],[segment]],
"At Risk",1,
"Ops Constrained",2,
"Ad Inefficient",3,
"High Potential",4,
"Core",5,99)</f>
        <v>1</v>
      </c>
      <c r="T27" s="7" t="str" cm="1">
        <f t="array" ref="T27">_xlfn.SWITCH(tblSMB[[#This Row],[segment]],
"At Risk","48 hours",
"Ops Constrained","72 hours",
"Ad Inefficient","1 week",
"High Potential","1 week",
"Core","2 weeks","")</f>
        <v>48 hours</v>
      </c>
      <c r="U27" s="9" t="str">
        <f>IF(AND(tblSMB[[#This Row],[segment]]&lt;&gt;"Ad Inefficient",tblSMB[[#This Row],[roas]]&lt;10),"Check: Low ROAS not flagged","")</f>
        <v/>
      </c>
      <c r="V27" s="10" t="s">
        <v>60</v>
      </c>
      <c r="W27" s="10" t="s">
        <v>61</v>
      </c>
      <c r="X27" s="10" t="s">
        <v>62</v>
      </c>
      <c r="Y27" s="2"/>
      <c r="AA27" s="1"/>
    </row>
    <row r="28" spans="1:27" ht="34" x14ac:dyDescent="0.2">
      <c r="A28" s="1" t="s">
        <v>116</v>
      </c>
      <c r="B28" s="11">
        <v>46027</v>
      </c>
      <c r="C28" s="1" t="s">
        <v>273</v>
      </c>
      <c r="D28" s="1" t="s">
        <v>43</v>
      </c>
      <c r="E28">
        <v>136</v>
      </c>
      <c r="F28">
        <v>4818.1000000000004</v>
      </c>
      <c r="G28">
        <v>500</v>
      </c>
      <c r="H28" s="4">
        <v>-0.11504</v>
      </c>
      <c r="I28" s="3">
        <v>6.6180000000000003E-2</v>
      </c>
      <c r="J28" s="3">
        <v>2.9409999999999999E-2</v>
      </c>
      <c r="K28">
        <v>30.87</v>
      </c>
      <c r="L28">
        <v>4.71</v>
      </c>
      <c r="M28">
        <v>20.85</v>
      </c>
      <c r="N28">
        <v>0.13971</v>
      </c>
      <c r="O28" s="5">
        <v>32.283784844119999</v>
      </c>
      <c r="P28" s="6">
        <v>35</v>
      </c>
      <c r="Q28" s="1" t="s">
        <v>44</v>
      </c>
      <c r="R28" s="1" t="s">
        <v>59</v>
      </c>
      <c r="S28" s="7" cm="1">
        <f t="array" ref="S28">_xlfn.SWITCH(tblSMB[[#This Row],[segment]],
"At Risk",1,
"Ops Constrained",2,
"Ad Inefficient",3,
"High Potential",4,
"Core",5,99)</f>
        <v>1</v>
      </c>
      <c r="T28" s="7" t="str" cm="1">
        <f t="array" ref="T28">_xlfn.SWITCH(tblSMB[[#This Row],[segment]],
"At Risk","48 hours",
"Ops Constrained","72 hours",
"Ad Inefficient","1 week",
"High Potential","1 week",
"Core","2 weeks","")</f>
        <v>48 hours</v>
      </c>
      <c r="U28" s="9" t="str">
        <f>IF(AND(tblSMB[[#This Row],[segment]]&lt;&gt;"Ad Inefficient",tblSMB[[#This Row],[roas]]&lt;10),"Check: Low ROAS not flagged","")</f>
        <v/>
      </c>
      <c r="V28" s="10" t="s">
        <v>60</v>
      </c>
      <c r="W28" s="10" t="s">
        <v>61</v>
      </c>
      <c r="X28" s="10" t="s">
        <v>62</v>
      </c>
      <c r="Y28" s="2"/>
      <c r="AA28" s="1"/>
    </row>
    <row r="29" spans="1:27" ht="34" x14ac:dyDescent="0.2">
      <c r="A29" s="1" t="s">
        <v>119</v>
      </c>
      <c r="B29" s="11">
        <v>46027</v>
      </c>
      <c r="C29" s="1" t="s">
        <v>273</v>
      </c>
      <c r="D29" s="1" t="s">
        <v>43</v>
      </c>
      <c r="E29">
        <v>149</v>
      </c>
      <c r="F29">
        <v>5278.65</v>
      </c>
      <c r="G29">
        <v>529</v>
      </c>
      <c r="H29" s="4">
        <v>-0.13278999999999999</v>
      </c>
      <c r="I29" s="3">
        <v>6.7110000000000003E-2</v>
      </c>
      <c r="J29" s="3">
        <v>2.6849999999999999E-2</v>
      </c>
      <c r="K29">
        <v>26.66</v>
      </c>
      <c r="L29">
        <v>4.5999999999999996</v>
      </c>
      <c r="M29">
        <v>21.76</v>
      </c>
      <c r="N29">
        <v>0.10067</v>
      </c>
      <c r="O29" s="5">
        <v>24.421310431990001</v>
      </c>
      <c r="P29" s="6">
        <v>35</v>
      </c>
      <c r="Q29" s="1" t="s">
        <v>44</v>
      </c>
      <c r="R29" s="1" t="s">
        <v>59</v>
      </c>
      <c r="S29" s="7" cm="1">
        <f t="array" ref="S29">_xlfn.SWITCH(tblSMB[[#This Row],[segment]],
"At Risk",1,
"Ops Constrained",2,
"Ad Inefficient",3,
"High Potential",4,
"Core",5,99)</f>
        <v>1</v>
      </c>
      <c r="T29" s="7" t="str" cm="1">
        <f t="array" ref="T29">_xlfn.SWITCH(tblSMB[[#This Row],[segment]],
"At Risk","48 hours",
"Ops Constrained","72 hours",
"Ad Inefficient","1 week",
"High Potential","1 week",
"Core","2 weeks","")</f>
        <v>48 hours</v>
      </c>
      <c r="U29" s="9" t="str">
        <f>IF(AND(tblSMB[[#This Row],[segment]]&lt;&gt;"Ad Inefficient",tblSMB[[#This Row],[roas]]&lt;10),"Check: Low ROAS not flagged","")</f>
        <v/>
      </c>
      <c r="V29" s="10" t="s">
        <v>60</v>
      </c>
      <c r="W29" s="10" t="s">
        <v>61</v>
      </c>
      <c r="X29" s="10" t="s">
        <v>62</v>
      </c>
      <c r="Y29" s="2"/>
      <c r="AA29" s="1"/>
    </row>
    <row r="30" spans="1:27" ht="34" x14ac:dyDescent="0.2">
      <c r="A30" s="1" t="s">
        <v>75</v>
      </c>
      <c r="B30" s="11">
        <v>46027</v>
      </c>
      <c r="C30" s="1" t="s">
        <v>68</v>
      </c>
      <c r="D30" s="1" t="s">
        <v>54</v>
      </c>
      <c r="E30">
        <v>156</v>
      </c>
      <c r="F30">
        <v>6840.99</v>
      </c>
      <c r="G30">
        <v>594</v>
      </c>
      <c r="H30" s="4">
        <v>-0.20905000000000001</v>
      </c>
      <c r="I30" s="3">
        <v>5.7689999999999998E-2</v>
      </c>
      <c r="J30" s="3">
        <v>1.9230000000000001E-2</v>
      </c>
      <c r="K30">
        <v>42.29</v>
      </c>
      <c r="L30">
        <v>4.83</v>
      </c>
      <c r="M30">
        <v>11.7</v>
      </c>
      <c r="N30">
        <v>0.17308000000000001</v>
      </c>
      <c r="O30" s="5">
        <v>101.19807692308</v>
      </c>
      <c r="P30" s="6">
        <v>36</v>
      </c>
      <c r="Q30" s="1" t="s">
        <v>44</v>
      </c>
      <c r="R30" s="1" t="s">
        <v>59</v>
      </c>
      <c r="S30" s="7" cm="1">
        <f t="array" ref="S30">_xlfn.SWITCH(tblSMB[[#This Row],[segment]],
"At Risk",1,
"Ops Constrained",2,
"Ad Inefficient",3,
"High Potential",4,
"Core",5,99)</f>
        <v>1</v>
      </c>
      <c r="T30" s="7" t="str" cm="1">
        <f t="array" ref="T30">_xlfn.SWITCH(tblSMB[[#This Row],[segment]],
"At Risk","48 hours",
"Ops Constrained","72 hours",
"Ad Inefficient","1 week",
"High Potential","1 week",
"Core","2 weeks","")</f>
        <v>48 hours</v>
      </c>
      <c r="U30" s="9" t="str">
        <f>IF(AND(tblSMB[[#This Row],[segment]]&lt;&gt;"Ad Inefficient",tblSMB[[#This Row],[roas]]&lt;10),"Check: Low ROAS not flagged","")</f>
        <v/>
      </c>
      <c r="V30" s="10" t="s">
        <v>60</v>
      </c>
      <c r="W30" s="10" t="s">
        <v>61</v>
      </c>
      <c r="X30" s="10" t="s">
        <v>62</v>
      </c>
      <c r="Y30" s="2"/>
      <c r="AA30" s="1"/>
    </row>
    <row r="31" spans="1:27" ht="34" x14ac:dyDescent="0.2">
      <c r="A31" s="1" t="s">
        <v>78</v>
      </c>
      <c r="B31" s="11">
        <v>46027</v>
      </c>
      <c r="C31" s="1" t="s">
        <v>79</v>
      </c>
      <c r="D31" s="1" t="s">
        <v>54</v>
      </c>
      <c r="E31">
        <v>176</v>
      </c>
      <c r="F31">
        <v>7839.22</v>
      </c>
      <c r="G31">
        <v>618</v>
      </c>
      <c r="H31" s="4">
        <v>-0.10564</v>
      </c>
      <c r="I31" s="3">
        <v>6.25E-2</v>
      </c>
      <c r="J31" s="3">
        <v>2.273E-2</v>
      </c>
      <c r="K31">
        <v>45.67</v>
      </c>
      <c r="L31">
        <v>4.51</v>
      </c>
      <c r="M31">
        <v>12.08</v>
      </c>
      <c r="N31">
        <v>9.0910000000000005E-2</v>
      </c>
      <c r="O31" s="5">
        <v>58.994732450329998</v>
      </c>
      <c r="P31" s="6">
        <v>36</v>
      </c>
      <c r="Q31" s="1" t="s">
        <v>44</v>
      </c>
      <c r="R31" s="1" t="s">
        <v>59</v>
      </c>
      <c r="S31" s="7" cm="1">
        <f t="array" ref="S31">_xlfn.SWITCH(tblSMB[[#This Row],[segment]],
"At Risk",1,
"Ops Constrained",2,
"Ad Inefficient",3,
"High Potential",4,
"Core",5,99)</f>
        <v>1</v>
      </c>
      <c r="T31" s="7" t="str" cm="1">
        <f t="array" ref="T31">_xlfn.SWITCH(tblSMB[[#This Row],[segment]],
"At Risk","48 hours",
"Ops Constrained","72 hours",
"Ad Inefficient","1 week",
"High Potential","1 week",
"Core","2 weeks","")</f>
        <v>48 hours</v>
      </c>
      <c r="U31" s="9" t="str">
        <f>IF(AND(tblSMB[[#This Row],[segment]]&lt;&gt;"Ad Inefficient",tblSMB[[#This Row],[roas]]&lt;10),"Check: Low ROAS not flagged","")</f>
        <v/>
      </c>
      <c r="V31" s="10" t="s">
        <v>60</v>
      </c>
      <c r="W31" s="10" t="s">
        <v>61</v>
      </c>
      <c r="X31" s="10" t="s">
        <v>62</v>
      </c>
      <c r="Y31" s="2"/>
      <c r="AA31" s="1"/>
    </row>
    <row r="32" spans="1:27" ht="34" x14ac:dyDescent="0.2">
      <c r="A32" s="1" t="s">
        <v>159</v>
      </c>
      <c r="B32" s="11">
        <v>46027</v>
      </c>
      <c r="C32" s="1" t="s">
        <v>79</v>
      </c>
      <c r="D32" s="1" t="s">
        <v>54</v>
      </c>
      <c r="E32">
        <v>140</v>
      </c>
      <c r="F32">
        <v>6995.52</v>
      </c>
      <c r="G32">
        <v>626</v>
      </c>
      <c r="H32" s="4">
        <v>-0.10057000000000001</v>
      </c>
      <c r="I32" s="3">
        <v>5.7140000000000003E-2</v>
      </c>
      <c r="J32" s="3">
        <v>2.8570000000000002E-2</v>
      </c>
      <c r="K32">
        <v>46.73</v>
      </c>
      <c r="L32">
        <v>4.75</v>
      </c>
      <c r="M32">
        <v>30.94</v>
      </c>
      <c r="N32">
        <v>0.12143</v>
      </c>
      <c r="O32" s="5">
        <v>27.454945054949999</v>
      </c>
      <c r="P32" s="6">
        <v>36</v>
      </c>
      <c r="Q32" s="1" t="s">
        <v>55</v>
      </c>
      <c r="R32" s="1" t="s">
        <v>59</v>
      </c>
      <c r="S32" s="7" cm="1">
        <f t="array" ref="S32">_xlfn.SWITCH(tblSMB[[#This Row],[segment]],
"At Risk",1,
"Ops Constrained",2,
"Ad Inefficient",3,
"High Potential",4,
"Core",5,99)</f>
        <v>1</v>
      </c>
      <c r="T32" s="7" t="str" cm="1">
        <f t="array" ref="T32">_xlfn.SWITCH(tblSMB[[#This Row],[segment]],
"At Risk","48 hours",
"Ops Constrained","72 hours",
"Ad Inefficient","1 week",
"High Potential","1 week",
"Core","2 weeks","")</f>
        <v>48 hours</v>
      </c>
      <c r="U32" s="9" t="str">
        <f>IF(AND(tblSMB[[#This Row],[segment]]&lt;&gt;"Ad Inefficient",tblSMB[[#This Row],[roas]]&lt;10),"Check: Low ROAS not flagged","")</f>
        <v/>
      </c>
      <c r="V32" s="10" t="s">
        <v>60</v>
      </c>
      <c r="W32" s="10" t="s">
        <v>61</v>
      </c>
      <c r="X32" s="10" t="s">
        <v>62</v>
      </c>
      <c r="Y32" s="2"/>
      <c r="AA32" s="1"/>
    </row>
    <row r="33" spans="1:27" ht="34" x14ac:dyDescent="0.2">
      <c r="A33" s="1" t="s">
        <v>174</v>
      </c>
      <c r="B33" s="11">
        <v>46027</v>
      </c>
      <c r="C33" s="1" t="s">
        <v>57</v>
      </c>
      <c r="D33" s="1" t="s">
        <v>58</v>
      </c>
      <c r="E33">
        <v>89</v>
      </c>
      <c r="F33">
        <v>1450.61</v>
      </c>
      <c r="G33">
        <v>332</v>
      </c>
      <c r="H33" s="4">
        <v>-8.9599999999999992E-3</v>
      </c>
      <c r="I33" s="3">
        <v>6.7419999999999994E-2</v>
      </c>
      <c r="J33" s="3">
        <v>3.3709999999999997E-2</v>
      </c>
      <c r="K33">
        <v>28.55</v>
      </c>
      <c r="L33">
        <v>4.17</v>
      </c>
      <c r="M33">
        <v>33.659999999999997</v>
      </c>
      <c r="N33">
        <v>0.20225000000000001</v>
      </c>
      <c r="O33" s="5">
        <v>8.7160368984000005</v>
      </c>
      <c r="P33" s="6">
        <v>36</v>
      </c>
      <c r="Q33" s="1" t="s">
        <v>44</v>
      </c>
      <c r="R33" s="1" t="s">
        <v>59</v>
      </c>
      <c r="S33" s="7" cm="1">
        <f t="array" ref="S33">_xlfn.SWITCH(tblSMB[[#This Row],[segment]],
"At Risk",1,
"Ops Constrained",2,
"Ad Inefficient",3,
"High Potential",4,
"Core",5,99)</f>
        <v>1</v>
      </c>
      <c r="T33" s="7" t="str" cm="1">
        <f t="array" ref="T33">_xlfn.SWITCH(tblSMB[[#This Row],[segment]],
"At Risk","48 hours",
"Ops Constrained","72 hours",
"Ad Inefficient","1 week",
"High Potential","1 week",
"Core","2 weeks","")</f>
        <v>48 hours</v>
      </c>
      <c r="U33" s="9" t="str">
        <f>IF(AND(tblSMB[[#This Row],[segment]]&lt;&gt;"Ad Inefficient",tblSMB[[#This Row],[roas]]&lt;10),"Check: Low ROAS not flagged","")</f>
        <v>Check: Low ROAS not flagged</v>
      </c>
      <c r="V33" s="10" t="s">
        <v>60</v>
      </c>
      <c r="W33" s="10" t="s">
        <v>61</v>
      </c>
      <c r="X33" s="10" t="s">
        <v>62</v>
      </c>
      <c r="Y33" s="2"/>
      <c r="AA33" s="1"/>
    </row>
    <row r="34" spans="1:27" ht="34" x14ac:dyDescent="0.2">
      <c r="A34" s="1" t="s">
        <v>176</v>
      </c>
      <c r="B34" s="11">
        <v>46027</v>
      </c>
      <c r="C34" s="1" t="s">
        <v>37</v>
      </c>
      <c r="D34" s="1" t="s">
        <v>38</v>
      </c>
      <c r="E34">
        <v>258</v>
      </c>
      <c r="F34">
        <v>8125.56</v>
      </c>
      <c r="G34">
        <v>894</v>
      </c>
      <c r="H34" s="4">
        <v>-9.239E-2</v>
      </c>
      <c r="I34" s="3">
        <v>5.8139999999999997E-2</v>
      </c>
      <c r="J34" s="3">
        <v>3.1009999999999999E-2</v>
      </c>
      <c r="K34">
        <v>30.07</v>
      </c>
      <c r="L34">
        <v>4.55</v>
      </c>
      <c r="M34">
        <v>34.44</v>
      </c>
      <c r="N34">
        <v>9.69E-2</v>
      </c>
      <c r="O34" s="5">
        <v>22.861802409989998</v>
      </c>
      <c r="P34" s="6">
        <v>36</v>
      </c>
      <c r="Q34" s="1" t="s">
        <v>44</v>
      </c>
      <c r="R34" s="1" t="s">
        <v>59</v>
      </c>
      <c r="S34" s="7" cm="1">
        <f t="array" ref="S34">_xlfn.SWITCH(tblSMB[[#This Row],[segment]],
"At Risk",1,
"Ops Constrained",2,
"Ad Inefficient",3,
"High Potential",4,
"Core",5,99)</f>
        <v>1</v>
      </c>
      <c r="T34" s="7" t="str" cm="1">
        <f t="array" ref="T34">_xlfn.SWITCH(tblSMB[[#This Row],[segment]],
"At Risk","48 hours",
"Ops Constrained","72 hours",
"Ad Inefficient","1 week",
"High Potential","1 week",
"Core","2 weeks","")</f>
        <v>48 hours</v>
      </c>
      <c r="U34" s="9" t="str">
        <f>IF(AND(tblSMB[[#This Row],[segment]]&lt;&gt;"Ad Inefficient",tblSMB[[#This Row],[roas]]&lt;10),"Check: Low ROAS not flagged","")</f>
        <v/>
      </c>
      <c r="V34" s="10" t="s">
        <v>60</v>
      </c>
      <c r="W34" s="10" t="s">
        <v>61</v>
      </c>
      <c r="X34" s="10" t="s">
        <v>62</v>
      </c>
      <c r="Y34" s="2"/>
      <c r="AA34" s="1"/>
    </row>
    <row r="35" spans="1:27" ht="34" x14ac:dyDescent="0.2">
      <c r="A35" s="1" t="s">
        <v>177</v>
      </c>
      <c r="B35" s="11">
        <v>46027</v>
      </c>
      <c r="C35" s="1" t="s">
        <v>57</v>
      </c>
      <c r="D35" s="1" t="s">
        <v>58</v>
      </c>
      <c r="E35">
        <v>229</v>
      </c>
      <c r="F35">
        <v>3736.18</v>
      </c>
      <c r="G35">
        <v>775</v>
      </c>
      <c r="H35" s="4">
        <v>-9.6740000000000007E-2</v>
      </c>
      <c r="I35" s="3">
        <v>4.8030000000000003E-2</v>
      </c>
      <c r="J35" s="3">
        <v>3.057E-2</v>
      </c>
      <c r="K35">
        <v>32.03</v>
      </c>
      <c r="L35">
        <v>4.4800000000000004</v>
      </c>
      <c r="M35">
        <v>34.92</v>
      </c>
      <c r="N35">
        <v>0.1179</v>
      </c>
      <c r="O35" s="5">
        <v>12.61484304124</v>
      </c>
      <c r="P35" s="6">
        <v>36</v>
      </c>
      <c r="Q35" s="1" t="s">
        <v>65</v>
      </c>
      <c r="R35" s="1" t="s">
        <v>59</v>
      </c>
      <c r="S35" s="7" cm="1">
        <f t="array" ref="S35">_xlfn.SWITCH(tblSMB[[#This Row],[segment]],
"At Risk",1,
"Ops Constrained",2,
"Ad Inefficient",3,
"High Potential",4,
"Core",5,99)</f>
        <v>1</v>
      </c>
      <c r="T35" s="7" t="str" cm="1">
        <f t="array" ref="T35">_xlfn.SWITCH(tblSMB[[#This Row],[segment]],
"At Risk","48 hours",
"Ops Constrained","72 hours",
"Ad Inefficient","1 week",
"High Potential","1 week",
"Core","2 weeks","")</f>
        <v>48 hours</v>
      </c>
      <c r="U35" s="9" t="str">
        <f>IF(AND(tblSMB[[#This Row],[segment]]&lt;&gt;"Ad Inefficient",tblSMB[[#This Row],[roas]]&lt;10),"Check: Low ROAS not flagged","")</f>
        <v/>
      </c>
      <c r="V35" s="10" t="s">
        <v>60</v>
      </c>
      <c r="W35" s="10" t="s">
        <v>61</v>
      </c>
      <c r="X35" s="10" t="s">
        <v>62</v>
      </c>
      <c r="Y35" s="2"/>
      <c r="AA35" s="1"/>
    </row>
    <row r="36" spans="1:27" ht="34" x14ac:dyDescent="0.2">
      <c r="A36" s="1" t="s">
        <v>189</v>
      </c>
      <c r="B36" s="11">
        <v>46027</v>
      </c>
      <c r="C36" s="1" t="s">
        <v>40</v>
      </c>
      <c r="D36" s="1" t="s">
        <v>31</v>
      </c>
      <c r="E36">
        <v>191</v>
      </c>
      <c r="F36">
        <v>2580.5100000000002</v>
      </c>
      <c r="G36">
        <v>760</v>
      </c>
      <c r="H36" s="4">
        <v>-0.11935</v>
      </c>
      <c r="I36" s="3">
        <v>4.7120000000000002E-2</v>
      </c>
      <c r="J36" s="3">
        <v>3.141E-2</v>
      </c>
      <c r="K36">
        <v>25.82</v>
      </c>
      <c r="L36">
        <v>4.34</v>
      </c>
      <c r="M36">
        <v>38.21</v>
      </c>
      <c r="N36">
        <v>0.12042</v>
      </c>
      <c r="O36" s="5">
        <v>8.1324797696900006</v>
      </c>
      <c r="P36" s="6">
        <v>36</v>
      </c>
      <c r="Q36" s="1" t="s">
        <v>65</v>
      </c>
      <c r="R36" s="1" t="s">
        <v>59</v>
      </c>
      <c r="S36" s="7" cm="1">
        <f t="array" ref="S36">_xlfn.SWITCH(tblSMB[[#This Row],[segment]],
"At Risk",1,
"Ops Constrained",2,
"Ad Inefficient",3,
"High Potential",4,
"Core",5,99)</f>
        <v>1</v>
      </c>
      <c r="T36" s="7" t="str" cm="1">
        <f t="array" ref="T36">_xlfn.SWITCH(tblSMB[[#This Row],[segment]],
"At Risk","48 hours",
"Ops Constrained","72 hours",
"Ad Inefficient","1 week",
"High Potential","1 week",
"Core","2 weeks","")</f>
        <v>48 hours</v>
      </c>
      <c r="U36" s="9" t="str">
        <f>IF(AND(tblSMB[[#This Row],[segment]]&lt;&gt;"Ad Inefficient",tblSMB[[#This Row],[roas]]&lt;10),"Check: Low ROAS not flagged","")</f>
        <v>Check: Low ROAS not flagged</v>
      </c>
      <c r="V36" s="10" t="s">
        <v>60</v>
      </c>
      <c r="W36" s="10" t="s">
        <v>61</v>
      </c>
      <c r="X36" s="10" t="s">
        <v>62</v>
      </c>
      <c r="Y36" s="2"/>
      <c r="AA36" s="1"/>
    </row>
    <row r="37" spans="1:27" ht="34" x14ac:dyDescent="0.2">
      <c r="A37" s="1" t="s">
        <v>191</v>
      </c>
      <c r="B37" s="11">
        <v>46027</v>
      </c>
      <c r="C37" s="1" t="s">
        <v>68</v>
      </c>
      <c r="D37" s="1" t="s">
        <v>23</v>
      </c>
      <c r="E37">
        <v>201</v>
      </c>
      <c r="F37">
        <v>3896.67</v>
      </c>
      <c r="G37">
        <v>750</v>
      </c>
      <c r="H37" s="4">
        <v>-5.8970000000000002E-2</v>
      </c>
      <c r="I37" s="3">
        <v>4.9750000000000003E-2</v>
      </c>
      <c r="J37" s="3">
        <v>3.483E-2</v>
      </c>
      <c r="K37">
        <v>29.67</v>
      </c>
      <c r="L37">
        <v>4.18</v>
      </c>
      <c r="M37">
        <v>39.39</v>
      </c>
      <c r="N37">
        <v>8.4580000000000002E-2</v>
      </c>
      <c r="O37" s="5">
        <v>8.3668216806300002</v>
      </c>
      <c r="P37" s="6">
        <v>36</v>
      </c>
      <c r="Q37" s="1" t="s">
        <v>65</v>
      </c>
      <c r="R37" s="1" t="s">
        <v>59</v>
      </c>
      <c r="S37" s="7" cm="1">
        <f t="array" ref="S37">_xlfn.SWITCH(tblSMB[[#This Row],[segment]],
"At Risk",1,
"Ops Constrained",2,
"Ad Inefficient",3,
"High Potential",4,
"Core",5,99)</f>
        <v>1</v>
      </c>
      <c r="T37" s="7" t="str" cm="1">
        <f t="array" ref="T37">_xlfn.SWITCH(tblSMB[[#This Row],[segment]],
"At Risk","48 hours",
"Ops Constrained","72 hours",
"Ad Inefficient","1 week",
"High Potential","1 week",
"Core","2 weeks","")</f>
        <v>48 hours</v>
      </c>
      <c r="U37" s="9" t="str">
        <f>IF(AND(tblSMB[[#This Row],[segment]]&lt;&gt;"Ad Inefficient",tblSMB[[#This Row],[roas]]&lt;10),"Check: Low ROAS not flagged","")</f>
        <v>Check: Low ROAS not flagged</v>
      </c>
      <c r="V37" s="10" t="s">
        <v>60</v>
      </c>
      <c r="W37" s="10" t="s">
        <v>61</v>
      </c>
      <c r="X37" s="10" t="s">
        <v>62</v>
      </c>
      <c r="Y37" s="2"/>
      <c r="AA37" s="1"/>
    </row>
    <row r="38" spans="1:27" ht="34" x14ac:dyDescent="0.2">
      <c r="A38" s="1" t="s">
        <v>197</v>
      </c>
      <c r="B38" s="11">
        <v>46027</v>
      </c>
      <c r="C38" s="1" t="s">
        <v>50</v>
      </c>
      <c r="D38" s="1" t="s">
        <v>58</v>
      </c>
      <c r="E38">
        <v>152</v>
      </c>
      <c r="F38">
        <v>2474.16</v>
      </c>
      <c r="G38">
        <v>696</v>
      </c>
      <c r="H38" s="4">
        <v>-4.3959999999999999E-2</v>
      </c>
      <c r="I38" s="3">
        <v>6.5790000000000001E-2</v>
      </c>
      <c r="J38" s="3">
        <v>3.2890000000000003E-2</v>
      </c>
      <c r="K38">
        <v>28.18</v>
      </c>
      <c r="L38">
        <v>4.2</v>
      </c>
      <c r="M38">
        <v>41.92</v>
      </c>
      <c r="N38">
        <v>0.23025999999999999</v>
      </c>
      <c r="O38" s="5">
        <v>13.59035973282</v>
      </c>
      <c r="P38" s="6">
        <v>36</v>
      </c>
      <c r="Q38" s="1" t="s">
        <v>44</v>
      </c>
      <c r="R38" s="1" t="s">
        <v>59</v>
      </c>
      <c r="S38" s="7" cm="1">
        <f t="array" ref="S38">_xlfn.SWITCH(tblSMB[[#This Row],[segment]],
"At Risk",1,
"Ops Constrained",2,
"Ad Inefficient",3,
"High Potential",4,
"Core",5,99)</f>
        <v>1</v>
      </c>
      <c r="T38" s="7" t="str" cm="1">
        <f t="array" ref="T38">_xlfn.SWITCH(tblSMB[[#This Row],[segment]],
"At Risk","48 hours",
"Ops Constrained","72 hours",
"Ad Inefficient","1 week",
"High Potential","1 week",
"Core","2 weeks","")</f>
        <v>48 hours</v>
      </c>
      <c r="U38" s="9" t="str">
        <f>IF(AND(tblSMB[[#This Row],[segment]]&lt;&gt;"Ad Inefficient",tblSMB[[#This Row],[roas]]&lt;10),"Check: Low ROAS not flagged","")</f>
        <v/>
      </c>
      <c r="V38" s="10" t="s">
        <v>60</v>
      </c>
      <c r="W38" s="10" t="s">
        <v>61</v>
      </c>
      <c r="X38" s="10" t="s">
        <v>62</v>
      </c>
      <c r="Y38" s="2"/>
      <c r="AA38" s="1"/>
    </row>
    <row r="39" spans="1:27" ht="34" x14ac:dyDescent="0.2">
      <c r="A39" s="1" t="s">
        <v>205</v>
      </c>
      <c r="B39" s="11">
        <v>46027</v>
      </c>
      <c r="C39" s="1" t="s">
        <v>50</v>
      </c>
      <c r="D39" s="1" t="s">
        <v>58</v>
      </c>
      <c r="E39">
        <v>196</v>
      </c>
      <c r="F39">
        <v>3601.03</v>
      </c>
      <c r="G39">
        <v>668</v>
      </c>
      <c r="H39" s="4">
        <v>-0.10335999999999999</v>
      </c>
      <c r="I39" s="3">
        <v>4.5920000000000002E-2</v>
      </c>
      <c r="J39" s="3">
        <v>3.0609999999999998E-2</v>
      </c>
      <c r="K39">
        <v>33.03</v>
      </c>
      <c r="L39">
        <v>4.55</v>
      </c>
      <c r="M39">
        <v>46.12</v>
      </c>
      <c r="N39">
        <v>9.6939999999999998E-2</v>
      </c>
      <c r="O39" s="5">
        <v>7.5689383781400004</v>
      </c>
      <c r="P39" s="6">
        <v>36</v>
      </c>
      <c r="Q39" s="1" t="s">
        <v>65</v>
      </c>
      <c r="R39" s="1" t="s">
        <v>59</v>
      </c>
      <c r="S39" s="7" cm="1">
        <f t="array" ref="S39">_xlfn.SWITCH(tblSMB[[#This Row],[segment]],
"At Risk",1,
"Ops Constrained",2,
"Ad Inefficient",3,
"High Potential",4,
"Core",5,99)</f>
        <v>1</v>
      </c>
      <c r="T39" s="7" t="str" cm="1">
        <f t="array" ref="T39">_xlfn.SWITCH(tblSMB[[#This Row],[segment]],
"At Risk","48 hours",
"Ops Constrained","72 hours",
"Ad Inefficient","1 week",
"High Potential","1 week",
"Core","2 weeks","")</f>
        <v>48 hours</v>
      </c>
      <c r="U39" s="9" t="str">
        <f>IF(AND(tblSMB[[#This Row],[segment]]&lt;&gt;"Ad Inefficient",tblSMB[[#This Row],[roas]]&lt;10),"Check: Low ROAS not flagged","")</f>
        <v>Check: Low ROAS not flagged</v>
      </c>
      <c r="V39" s="10" t="s">
        <v>60</v>
      </c>
      <c r="W39" s="10" t="s">
        <v>61</v>
      </c>
      <c r="X39" s="10" t="s">
        <v>62</v>
      </c>
      <c r="Y39" s="2"/>
      <c r="AA39" s="1"/>
    </row>
    <row r="40" spans="1:27" ht="34" x14ac:dyDescent="0.2">
      <c r="A40" s="1" t="s">
        <v>228</v>
      </c>
      <c r="B40" s="11">
        <v>46027</v>
      </c>
      <c r="C40" s="1" t="s">
        <v>79</v>
      </c>
      <c r="D40" s="1" t="s">
        <v>54</v>
      </c>
      <c r="E40">
        <v>156</v>
      </c>
      <c r="F40">
        <v>6346.08</v>
      </c>
      <c r="G40">
        <v>566</v>
      </c>
      <c r="H40" s="4">
        <v>-0.13982</v>
      </c>
      <c r="I40" s="3">
        <v>4.487E-2</v>
      </c>
      <c r="J40" s="3">
        <v>2.564E-2</v>
      </c>
      <c r="K40">
        <v>38.950000000000003</v>
      </c>
      <c r="L40">
        <v>4.6399999999999997</v>
      </c>
      <c r="M40">
        <v>56.61</v>
      </c>
      <c r="N40">
        <v>0.12820999999999999</v>
      </c>
      <c r="O40" s="5">
        <v>14.372019077899999</v>
      </c>
      <c r="P40" s="6">
        <v>36</v>
      </c>
      <c r="Q40" s="1" t="s">
        <v>55</v>
      </c>
      <c r="R40" s="1" t="s">
        <v>59</v>
      </c>
      <c r="S40" s="7" cm="1">
        <f t="array" ref="S40">_xlfn.SWITCH(tblSMB[[#This Row],[segment]],
"At Risk",1,
"Ops Constrained",2,
"Ad Inefficient",3,
"High Potential",4,
"Core",5,99)</f>
        <v>1</v>
      </c>
      <c r="T40" s="7" t="str" cm="1">
        <f t="array" ref="T40">_xlfn.SWITCH(tblSMB[[#This Row],[segment]],
"At Risk","48 hours",
"Ops Constrained","72 hours",
"Ad Inefficient","1 week",
"High Potential","1 week",
"Core","2 weeks","")</f>
        <v>48 hours</v>
      </c>
      <c r="U40" s="9" t="str">
        <f>IF(AND(tblSMB[[#This Row],[segment]]&lt;&gt;"Ad Inefficient",tblSMB[[#This Row],[roas]]&lt;10),"Check: Low ROAS not flagged","")</f>
        <v/>
      </c>
      <c r="V40" s="10" t="s">
        <v>60</v>
      </c>
      <c r="W40" s="10" t="s">
        <v>61</v>
      </c>
      <c r="X40" s="10" t="s">
        <v>62</v>
      </c>
      <c r="Y40" s="2"/>
      <c r="AA40" s="1"/>
    </row>
    <row r="41" spans="1:27" ht="34" x14ac:dyDescent="0.2">
      <c r="A41" s="1" t="s">
        <v>253</v>
      </c>
      <c r="B41" s="11">
        <v>46027</v>
      </c>
      <c r="C41" s="1" t="s">
        <v>40</v>
      </c>
      <c r="D41" s="1" t="s">
        <v>54</v>
      </c>
      <c r="E41">
        <v>308</v>
      </c>
      <c r="F41">
        <v>14005.53</v>
      </c>
      <c r="G41">
        <v>1168</v>
      </c>
      <c r="H41" s="4">
        <v>2.009E-2</v>
      </c>
      <c r="I41" s="3">
        <v>7.1429999999999993E-2</v>
      </c>
      <c r="J41" s="3">
        <v>3.5709999999999999E-2</v>
      </c>
      <c r="K41">
        <v>49.99</v>
      </c>
      <c r="L41">
        <v>4.4800000000000004</v>
      </c>
      <c r="M41">
        <v>102.61</v>
      </c>
      <c r="N41">
        <v>0.14935000000000001</v>
      </c>
      <c r="O41" s="5">
        <v>20.385293831009999</v>
      </c>
      <c r="P41" s="6">
        <v>36</v>
      </c>
      <c r="Q41" s="1" t="s">
        <v>44</v>
      </c>
      <c r="R41" s="1" t="s">
        <v>59</v>
      </c>
      <c r="S41" s="7" cm="1">
        <f t="array" ref="S41">_xlfn.SWITCH(tblSMB[[#This Row],[segment]],
"At Risk",1,
"Ops Constrained",2,
"Ad Inefficient",3,
"High Potential",4,
"Core",5,99)</f>
        <v>1</v>
      </c>
      <c r="T41" s="7" t="str" cm="1">
        <f t="array" ref="T41">_xlfn.SWITCH(tblSMB[[#This Row],[segment]],
"At Risk","48 hours",
"Ops Constrained","72 hours",
"Ad Inefficient","1 week",
"High Potential","1 week",
"Core","2 weeks","")</f>
        <v>48 hours</v>
      </c>
      <c r="U41" s="9" t="str">
        <f>IF(AND(tblSMB[[#This Row],[segment]]&lt;&gt;"Ad Inefficient",tblSMB[[#This Row],[roas]]&lt;10),"Check: Low ROAS not flagged","")</f>
        <v/>
      </c>
      <c r="V41" s="10" t="s">
        <v>60</v>
      </c>
      <c r="W41" s="10" t="s">
        <v>61</v>
      </c>
      <c r="X41" s="10" t="s">
        <v>62</v>
      </c>
      <c r="Y41" s="2"/>
      <c r="AA41" s="1"/>
    </row>
    <row r="42" spans="1:27" ht="34" x14ac:dyDescent="0.2">
      <c r="A42" s="1" t="s">
        <v>113</v>
      </c>
      <c r="B42" s="11">
        <v>46027</v>
      </c>
      <c r="C42" s="1" t="s">
        <v>68</v>
      </c>
      <c r="D42" s="1" t="s">
        <v>54</v>
      </c>
      <c r="E42">
        <v>183</v>
      </c>
      <c r="F42">
        <v>8543.81</v>
      </c>
      <c r="G42">
        <v>701</v>
      </c>
      <c r="H42" s="4">
        <v>-4.6260000000000003E-2</v>
      </c>
      <c r="I42" s="3">
        <v>7.1040000000000006E-2</v>
      </c>
      <c r="J42" s="3">
        <v>2.7320000000000001E-2</v>
      </c>
      <c r="K42">
        <v>47.53</v>
      </c>
      <c r="L42">
        <v>4.51</v>
      </c>
      <c r="M42">
        <v>19.78</v>
      </c>
      <c r="N42">
        <v>0.10383000000000001</v>
      </c>
      <c r="O42" s="5">
        <v>44.846422345800001</v>
      </c>
      <c r="P42" s="6">
        <v>37</v>
      </c>
      <c r="Q42" s="1" t="s">
        <v>44</v>
      </c>
      <c r="R42" s="1" t="s">
        <v>59</v>
      </c>
      <c r="S42" s="7" cm="1">
        <f t="array" ref="S42">_xlfn.SWITCH(tblSMB[[#This Row],[segment]],
"At Risk",1,
"Ops Constrained",2,
"Ad Inefficient",3,
"High Potential",4,
"Core",5,99)</f>
        <v>1</v>
      </c>
      <c r="T42" s="7" t="str" cm="1">
        <f t="array" ref="T42">_xlfn.SWITCH(tblSMB[[#This Row],[segment]],
"At Risk","48 hours",
"Ops Constrained","72 hours",
"Ad Inefficient","1 week",
"High Potential","1 week",
"Core","2 weeks","")</f>
        <v>48 hours</v>
      </c>
      <c r="U42" s="9" t="str">
        <f>IF(AND(tblSMB[[#This Row],[segment]]&lt;&gt;"Ad Inefficient",tblSMB[[#This Row],[roas]]&lt;10),"Check: Low ROAS not flagged","")</f>
        <v/>
      </c>
      <c r="V42" s="10" t="s">
        <v>60</v>
      </c>
      <c r="W42" s="10" t="s">
        <v>61</v>
      </c>
      <c r="X42" s="10" t="s">
        <v>62</v>
      </c>
      <c r="Y42" s="2"/>
      <c r="AA42" s="1"/>
    </row>
    <row r="43" spans="1:27" ht="34" x14ac:dyDescent="0.2">
      <c r="A43" s="1" t="s">
        <v>139</v>
      </c>
      <c r="B43" s="11">
        <v>46027</v>
      </c>
      <c r="C43" s="1" t="s">
        <v>22</v>
      </c>
      <c r="D43" s="1" t="s">
        <v>38</v>
      </c>
      <c r="E43">
        <v>187</v>
      </c>
      <c r="F43">
        <v>4576.26</v>
      </c>
      <c r="G43">
        <v>782</v>
      </c>
      <c r="H43" s="4">
        <v>-0.19794999999999999</v>
      </c>
      <c r="I43" s="3">
        <v>3.7429999999999998E-2</v>
      </c>
      <c r="J43" s="3">
        <v>2.1389999999999999E-2</v>
      </c>
      <c r="K43">
        <v>33.01</v>
      </c>
      <c r="L43">
        <v>4.45</v>
      </c>
      <c r="M43">
        <v>26.36</v>
      </c>
      <c r="N43">
        <v>9.0910000000000005E-2</v>
      </c>
      <c r="O43" s="5">
        <v>15.78238402883</v>
      </c>
      <c r="P43" s="6">
        <v>37</v>
      </c>
      <c r="Q43" s="1" t="s">
        <v>41</v>
      </c>
      <c r="R43" s="1" t="s">
        <v>59</v>
      </c>
      <c r="S43" s="7" cm="1">
        <f t="array" ref="S43">_xlfn.SWITCH(tblSMB[[#This Row],[segment]],
"At Risk",1,
"Ops Constrained",2,
"Ad Inefficient",3,
"High Potential",4,
"Core",5,99)</f>
        <v>1</v>
      </c>
      <c r="T43" s="7" t="str" cm="1">
        <f t="array" ref="T43">_xlfn.SWITCH(tblSMB[[#This Row],[segment]],
"At Risk","48 hours",
"Ops Constrained","72 hours",
"Ad Inefficient","1 week",
"High Potential","1 week",
"Core","2 weeks","")</f>
        <v>48 hours</v>
      </c>
      <c r="U43" s="9" t="str">
        <f>IF(AND(tblSMB[[#This Row],[segment]]&lt;&gt;"Ad Inefficient",tblSMB[[#This Row],[roas]]&lt;10),"Check: Low ROAS not flagged","")</f>
        <v/>
      </c>
      <c r="V43" s="10" t="s">
        <v>60</v>
      </c>
      <c r="W43" s="10" t="s">
        <v>61</v>
      </c>
      <c r="X43" s="10" t="s">
        <v>62</v>
      </c>
      <c r="Y43" s="2"/>
      <c r="AA43" s="1"/>
    </row>
    <row r="44" spans="1:27" ht="34" x14ac:dyDescent="0.2">
      <c r="A44" s="1" t="s">
        <v>203</v>
      </c>
      <c r="B44" s="11">
        <v>46027</v>
      </c>
      <c r="C44" s="1" t="s">
        <v>40</v>
      </c>
      <c r="D44" s="1" t="s">
        <v>31</v>
      </c>
      <c r="E44">
        <v>182</v>
      </c>
      <c r="F44">
        <v>2354.9</v>
      </c>
      <c r="G44">
        <v>769</v>
      </c>
      <c r="H44" s="4">
        <v>-0.10373</v>
      </c>
      <c r="I44" s="3">
        <v>4.3959999999999999E-2</v>
      </c>
      <c r="J44" s="3">
        <v>3.2969999999999999E-2</v>
      </c>
      <c r="K44">
        <v>28.51</v>
      </c>
      <c r="L44">
        <v>4.29</v>
      </c>
      <c r="M44">
        <v>45.3</v>
      </c>
      <c r="N44">
        <v>0.13186999999999999</v>
      </c>
      <c r="O44" s="5">
        <v>6.8551051655600004</v>
      </c>
      <c r="P44" s="6">
        <v>37</v>
      </c>
      <c r="Q44" s="1" t="s">
        <v>65</v>
      </c>
      <c r="R44" s="1" t="s">
        <v>59</v>
      </c>
      <c r="S44" s="7" cm="1">
        <f t="array" ref="S44">_xlfn.SWITCH(tblSMB[[#This Row],[segment]],
"At Risk",1,
"Ops Constrained",2,
"Ad Inefficient",3,
"High Potential",4,
"Core",5,99)</f>
        <v>1</v>
      </c>
      <c r="T44" s="7" t="str" cm="1">
        <f t="array" ref="T44">_xlfn.SWITCH(tblSMB[[#This Row],[segment]],
"At Risk","48 hours",
"Ops Constrained","72 hours",
"Ad Inefficient","1 week",
"High Potential","1 week",
"Core","2 weeks","")</f>
        <v>48 hours</v>
      </c>
      <c r="U44" s="9" t="str">
        <f>IF(AND(tblSMB[[#This Row],[segment]]&lt;&gt;"Ad Inefficient",tblSMB[[#This Row],[roas]]&lt;10),"Check: Low ROAS not flagged","")</f>
        <v>Check: Low ROAS not flagged</v>
      </c>
      <c r="V44" s="10" t="s">
        <v>60</v>
      </c>
      <c r="W44" s="10" t="s">
        <v>61</v>
      </c>
      <c r="X44" s="10" t="s">
        <v>62</v>
      </c>
      <c r="Y44" s="2"/>
      <c r="AA44" s="1"/>
    </row>
    <row r="45" spans="1:27" ht="34" x14ac:dyDescent="0.2">
      <c r="A45" s="1" t="s">
        <v>257</v>
      </c>
      <c r="B45" s="11">
        <v>46027</v>
      </c>
      <c r="C45" s="1" t="s">
        <v>30</v>
      </c>
      <c r="D45" s="1" t="s">
        <v>58</v>
      </c>
      <c r="E45">
        <v>277</v>
      </c>
      <c r="F45">
        <v>4356.2700000000004</v>
      </c>
      <c r="G45">
        <v>1004</v>
      </c>
      <c r="H45" s="4">
        <v>1E-3</v>
      </c>
      <c r="I45" s="3">
        <v>5.4149999999999997E-2</v>
      </c>
      <c r="J45" s="3">
        <v>3.61E-2</v>
      </c>
      <c r="K45">
        <v>31.64</v>
      </c>
      <c r="L45">
        <v>4.1100000000000003</v>
      </c>
      <c r="M45">
        <v>114.16</v>
      </c>
      <c r="N45">
        <v>0.10829999999999999</v>
      </c>
      <c r="O45" s="5">
        <v>4.1327801331499998</v>
      </c>
      <c r="P45" s="6">
        <v>37</v>
      </c>
      <c r="Q45" s="1" t="s">
        <v>65</v>
      </c>
      <c r="R45" s="1" t="s">
        <v>59</v>
      </c>
      <c r="S45" s="7" cm="1">
        <f t="array" ref="S45">_xlfn.SWITCH(tblSMB[[#This Row],[segment]],
"At Risk",1,
"Ops Constrained",2,
"Ad Inefficient",3,
"High Potential",4,
"Core",5,99)</f>
        <v>1</v>
      </c>
      <c r="T45" s="7" t="str" cm="1">
        <f t="array" ref="T45">_xlfn.SWITCH(tblSMB[[#This Row],[segment]],
"At Risk","48 hours",
"Ops Constrained","72 hours",
"Ad Inefficient","1 week",
"High Potential","1 week",
"Core","2 weeks","")</f>
        <v>48 hours</v>
      </c>
      <c r="U45" s="9" t="str">
        <f>IF(AND(tblSMB[[#This Row],[segment]]&lt;&gt;"Ad Inefficient",tblSMB[[#This Row],[roas]]&lt;10),"Check: Low ROAS not flagged","")</f>
        <v>Check: Low ROAS not flagged</v>
      </c>
      <c r="V45" s="10" t="s">
        <v>60</v>
      </c>
      <c r="W45" s="10" t="s">
        <v>61</v>
      </c>
      <c r="X45" s="10" t="s">
        <v>62</v>
      </c>
      <c r="Y45" s="2"/>
      <c r="AA45" s="1"/>
    </row>
    <row r="46" spans="1:27" ht="34" x14ac:dyDescent="0.2">
      <c r="A46" s="1" t="s">
        <v>134</v>
      </c>
      <c r="B46" s="11">
        <v>46027</v>
      </c>
      <c r="C46" s="1" t="s">
        <v>22</v>
      </c>
      <c r="D46" s="1" t="s">
        <v>58</v>
      </c>
      <c r="E46">
        <v>201</v>
      </c>
      <c r="F46">
        <v>3959.9</v>
      </c>
      <c r="G46">
        <v>840</v>
      </c>
      <c r="H46" s="4">
        <v>-0.13491</v>
      </c>
      <c r="I46" s="3">
        <v>4.9750000000000003E-2</v>
      </c>
      <c r="J46" s="3">
        <v>2.9850000000000002E-2</v>
      </c>
      <c r="K46">
        <v>27.89</v>
      </c>
      <c r="L46">
        <v>4.67</v>
      </c>
      <c r="M46">
        <v>25.5</v>
      </c>
      <c r="N46">
        <v>0.11443</v>
      </c>
      <c r="O46" s="5">
        <v>17.769524901960001</v>
      </c>
      <c r="P46" s="6">
        <v>38</v>
      </c>
      <c r="Q46" s="1" t="s">
        <v>65</v>
      </c>
      <c r="R46" s="1" t="s">
        <v>59</v>
      </c>
      <c r="S46" s="7" cm="1">
        <f t="array" ref="S46">_xlfn.SWITCH(tblSMB[[#This Row],[segment]],
"At Risk",1,
"Ops Constrained",2,
"Ad Inefficient",3,
"High Potential",4,
"Core",5,99)</f>
        <v>1</v>
      </c>
      <c r="T46" s="7" t="str" cm="1">
        <f t="array" ref="T46">_xlfn.SWITCH(tblSMB[[#This Row],[segment]],
"At Risk","48 hours",
"Ops Constrained","72 hours",
"Ad Inefficient","1 week",
"High Potential","1 week",
"Core","2 weeks","")</f>
        <v>48 hours</v>
      </c>
      <c r="U46" s="9" t="str">
        <f>IF(AND(tblSMB[[#This Row],[segment]]&lt;&gt;"Ad Inefficient",tblSMB[[#This Row],[roas]]&lt;10),"Check: Low ROAS not flagged","")</f>
        <v/>
      </c>
      <c r="V46" s="10" t="s">
        <v>60</v>
      </c>
      <c r="W46" s="10" t="s">
        <v>61</v>
      </c>
      <c r="X46" s="10" t="s">
        <v>62</v>
      </c>
      <c r="Y46" s="2"/>
      <c r="AA46" s="1"/>
    </row>
    <row r="47" spans="1:27" ht="34" x14ac:dyDescent="0.2">
      <c r="A47" s="1" t="s">
        <v>154</v>
      </c>
      <c r="B47" s="11">
        <v>46027</v>
      </c>
      <c r="C47" s="1" t="s">
        <v>37</v>
      </c>
      <c r="D47" s="1" t="s">
        <v>38</v>
      </c>
      <c r="E47">
        <v>131</v>
      </c>
      <c r="F47">
        <v>3936.5</v>
      </c>
      <c r="G47">
        <v>518</v>
      </c>
      <c r="H47" s="4">
        <v>-2.264E-2</v>
      </c>
      <c r="I47" s="3">
        <v>6.1069999999999999E-2</v>
      </c>
      <c r="J47" s="3">
        <v>3.0530000000000002E-2</v>
      </c>
      <c r="K47">
        <v>38.380000000000003</v>
      </c>
      <c r="L47">
        <v>4.4800000000000004</v>
      </c>
      <c r="M47">
        <v>30.59</v>
      </c>
      <c r="N47">
        <v>0.12214</v>
      </c>
      <c r="O47" s="5">
        <v>15.717354952599999</v>
      </c>
      <c r="P47" s="6">
        <v>38</v>
      </c>
      <c r="Q47" s="1" t="s">
        <v>44</v>
      </c>
      <c r="R47" s="1" t="s">
        <v>59</v>
      </c>
      <c r="S47" s="7" cm="1">
        <f t="array" ref="S47">_xlfn.SWITCH(tblSMB[[#This Row],[segment]],
"At Risk",1,
"Ops Constrained",2,
"Ad Inefficient",3,
"High Potential",4,
"Core",5,99)</f>
        <v>1</v>
      </c>
      <c r="T47" s="7" t="str" cm="1">
        <f t="array" ref="T47">_xlfn.SWITCH(tblSMB[[#This Row],[segment]],
"At Risk","48 hours",
"Ops Constrained","72 hours",
"Ad Inefficient","1 week",
"High Potential","1 week",
"Core","2 weeks","")</f>
        <v>48 hours</v>
      </c>
      <c r="U47" s="9" t="str">
        <f>IF(AND(tblSMB[[#This Row],[segment]]&lt;&gt;"Ad Inefficient",tblSMB[[#This Row],[roas]]&lt;10),"Check: Low ROAS not flagged","")</f>
        <v/>
      </c>
      <c r="V47" s="10" t="s">
        <v>60</v>
      </c>
      <c r="W47" s="10" t="s">
        <v>61</v>
      </c>
      <c r="X47" s="10" t="s">
        <v>62</v>
      </c>
      <c r="Y47" s="2"/>
      <c r="AA47" s="1"/>
    </row>
    <row r="48" spans="1:27" ht="34" x14ac:dyDescent="0.2">
      <c r="A48" s="1" t="s">
        <v>227</v>
      </c>
      <c r="B48" s="11">
        <v>46027</v>
      </c>
      <c r="C48" s="1" t="s">
        <v>37</v>
      </c>
      <c r="D48" s="1" t="s">
        <v>58</v>
      </c>
      <c r="E48">
        <v>208</v>
      </c>
      <c r="F48">
        <v>3542.95</v>
      </c>
      <c r="G48">
        <v>808</v>
      </c>
      <c r="H48" s="4">
        <v>1.635E-2</v>
      </c>
      <c r="I48" s="3">
        <v>5.7689999999999998E-2</v>
      </c>
      <c r="J48" s="3">
        <v>3.3649999999999999E-2</v>
      </c>
      <c r="K48">
        <v>32.71</v>
      </c>
      <c r="L48">
        <v>4.24</v>
      </c>
      <c r="M48">
        <v>56.43</v>
      </c>
      <c r="N48">
        <v>0.11538</v>
      </c>
      <c r="O48" s="5">
        <v>7.24440744285</v>
      </c>
      <c r="P48" s="6">
        <v>38</v>
      </c>
      <c r="Q48" s="1" t="s">
        <v>44</v>
      </c>
      <c r="R48" s="1" t="s">
        <v>59</v>
      </c>
      <c r="S48" s="7" cm="1">
        <f t="array" ref="S48">_xlfn.SWITCH(tblSMB[[#This Row],[segment]],
"At Risk",1,
"Ops Constrained",2,
"Ad Inefficient",3,
"High Potential",4,
"Core",5,99)</f>
        <v>1</v>
      </c>
      <c r="T48" s="7" t="str" cm="1">
        <f t="array" ref="T48">_xlfn.SWITCH(tblSMB[[#This Row],[segment]],
"At Risk","48 hours",
"Ops Constrained","72 hours",
"Ad Inefficient","1 week",
"High Potential","1 week",
"Core","2 weeks","")</f>
        <v>48 hours</v>
      </c>
      <c r="U48" s="9" t="str">
        <f>IF(AND(tblSMB[[#This Row],[segment]]&lt;&gt;"Ad Inefficient",tblSMB[[#This Row],[roas]]&lt;10),"Check: Low ROAS not flagged","")</f>
        <v>Check: Low ROAS not flagged</v>
      </c>
      <c r="V48" s="10" t="s">
        <v>60</v>
      </c>
      <c r="W48" s="10" t="s">
        <v>61</v>
      </c>
      <c r="X48" s="10" t="s">
        <v>62</v>
      </c>
      <c r="Y48" s="2"/>
      <c r="AA48" s="1"/>
    </row>
    <row r="49" spans="1:27" ht="34" x14ac:dyDescent="0.2">
      <c r="A49" s="1" t="s">
        <v>231</v>
      </c>
      <c r="B49" s="11">
        <v>46027</v>
      </c>
      <c r="C49" s="1" t="s">
        <v>68</v>
      </c>
      <c r="D49" s="1" t="s">
        <v>54</v>
      </c>
      <c r="E49">
        <v>276</v>
      </c>
      <c r="F49">
        <v>11115.9</v>
      </c>
      <c r="G49">
        <v>1040</v>
      </c>
      <c r="H49" s="4">
        <v>-5.4550000000000001E-2</v>
      </c>
      <c r="I49" s="3">
        <v>5.4350000000000002E-2</v>
      </c>
      <c r="J49" s="3">
        <v>2.5360000000000001E-2</v>
      </c>
      <c r="K49">
        <v>45.64</v>
      </c>
      <c r="L49">
        <v>4.42</v>
      </c>
      <c r="M49">
        <v>58.33</v>
      </c>
      <c r="N49">
        <v>7.9710000000000003E-2</v>
      </c>
      <c r="O49" s="5">
        <v>15.190296588380001</v>
      </c>
      <c r="P49" s="6">
        <v>38</v>
      </c>
      <c r="Q49" s="1" t="s">
        <v>55</v>
      </c>
      <c r="R49" s="1" t="s">
        <v>59</v>
      </c>
      <c r="S49" s="7" cm="1">
        <f t="array" ref="S49">_xlfn.SWITCH(tblSMB[[#This Row],[segment]],
"At Risk",1,
"Ops Constrained",2,
"Ad Inefficient",3,
"High Potential",4,
"Core",5,99)</f>
        <v>1</v>
      </c>
      <c r="T49" s="7" t="str" cm="1">
        <f t="array" ref="T49">_xlfn.SWITCH(tblSMB[[#This Row],[segment]],
"At Risk","48 hours",
"Ops Constrained","72 hours",
"Ad Inefficient","1 week",
"High Potential","1 week",
"Core","2 weeks","")</f>
        <v>48 hours</v>
      </c>
      <c r="U49" s="9" t="str">
        <f>IF(AND(tblSMB[[#This Row],[segment]]&lt;&gt;"Ad Inefficient",tblSMB[[#This Row],[roas]]&lt;10),"Check: Low ROAS not flagged","")</f>
        <v/>
      </c>
      <c r="V49" s="10" t="s">
        <v>60</v>
      </c>
      <c r="W49" s="10" t="s">
        <v>61</v>
      </c>
      <c r="X49" s="10" t="s">
        <v>62</v>
      </c>
      <c r="Y49" s="2"/>
      <c r="AA49" s="1"/>
    </row>
    <row r="50" spans="1:27" ht="34" x14ac:dyDescent="0.2">
      <c r="A50" s="1" t="s">
        <v>233</v>
      </c>
      <c r="B50" s="11">
        <v>46027</v>
      </c>
      <c r="C50" s="1" t="s">
        <v>37</v>
      </c>
      <c r="D50" s="1" t="s">
        <v>38</v>
      </c>
      <c r="E50">
        <v>182</v>
      </c>
      <c r="F50">
        <v>5582.16</v>
      </c>
      <c r="G50">
        <v>602</v>
      </c>
      <c r="H50" s="4">
        <v>-5.0470000000000001E-2</v>
      </c>
      <c r="I50" s="3">
        <v>5.4949999999999999E-2</v>
      </c>
      <c r="J50" s="3">
        <v>3.2969999999999999E-2</v>
      </c>
      <c r="K50">
        <v>31.92</v>
      </c>
      <c r="L50">
        <v>4.55</v>
      </c>
      <c r="M50">
        <v>60.83</v>
      </c>
      <c r="N50">
        <v>0.13736000000000001</v>
      </c>
      <c r="O50" s="5">
        <v>12.60529713957</v>
      </c>
      <c r="P50" s="6">
        <v>38</v>
      </c>
      <c r="Q50" s="1" t="s">
        <v>65</v>
      </c>
      <c r="R50" s="1" t="s">
        <v>59</v>
      </c>
      <c r="S50" s="7" cm="1">
        <f t="array" ref="S50">_xlfn.SWITCH(tblSMB[[#This Row],[segment]],
"At Risk",1,
"Ops Constrained",2,
"Ad Inefficient",3,
"High Potential",4,
"Core",5,99)</f>
        <v>1</v>
      </c>
      <c r="T50" s="7" t="str" cm="1">
        <f t="array" ref="T50">_xlfn.SWITCH(tblSMB[[#This Row],[segment]],
"At Risk","48 hours",
"Ops Constrained","72 hours",
"Ad Inefficient","1 week",
"High Potential","1 week",
"Core","2 weeks","")</f>
        <v>48 hours</v>
      </c>
      <c r="U50" s="9" t="str">
        <f>IF(AND(tblSMB[[#This Row],[segment]]&lt;&gt;"Ad Inefficient",tblSMB[[#This Row],[roas]]&lt;10),"Check: Low ROAS not flagged","")</f>
        <v/>
      </c>
      <c r="V50" s="10" t="s">
        <v>60</v>
      </c>
      <c r="W50" s="10" t="s">
        <v>61</v>
      </c>
      <c r="X50" s="10" t="s">
        <v>62</v>
      </c>
      <c r="Y50" s="2"/>
      <c r="AA50" s="1"/>
    </row>
    <row r="51" spans="1:27" ht="34" x14ac:dyDescent="0.2">
      <c r="A51" s="1" t="s">
        <v>67</v>
      </c>
      <c r="B51" s="11">
        <v>46027</v>
      </c>
      <c r="C51" s="1" t="s">
        <v>68</v>
      </c>
      <c r="D51" s="1" t="s">
        <v>23</v>
      </c>
      <c r="E51">
        <v>218</v>
      </c>
      <c r="F51">
        <v>4116.8900000000003</v>
      </c>
      <c r="G51">
        <v>831</v>
      </c>
      <c r="H51" s="4">
        <v>-8.5809999999999997E-2</v>
      </c>
      <c r="I51" s="3">
        <v>5.9630000000000002E-2</v>
      </c>
      <c r="J51" s="3">
        <v>2.7519999999999999E-2</v>
      </c>
      <c r="K51">
        <v>28.89</v>
      </c>
      <c r="L51">
        <v>4.18</v>
      </c>
      <c r="M51">
        <v>10.66</v>
      </c>
      <c r="N51">
        <v>0.1055</v>
      </c>
      <c r="O51" s="5">
        <v>40.745852814259997</v>
      </c>
      <c r="P51" s="6">
        <v>39</v>
      </c>
      <c r="Q51" s="1" t="s">
        <v>44</v>
      </c>
      <c r="R51" s="1" t="s">
        <v>59</v>
      </c>
      <c r="S51" s="7" cm="1">
        <f t="array" ref="S51">_xlfn.SWITCH(tblSMB[[#This Row],[segment]],
"At Risk",1,
"Ops Constrained",2,
"Ad Inefficient",3,
"High Potential",4,
"Core",5,99)</f>
        <v>1</v>
      </c>
      <c r="T51" s="7" t="str" cm="1">
        <f t="array" ref="T51">_xlfn.SWITCH(tblSMB[[#This Row],[segment]],
"At Risk","48 hours",
"Ops Constrained","72 hours",
"Ad Inefficient","1 week",
"High Potential","1 week",
"Core","2 weeks","")</f>
        <v>48 hours</v>
      </c>
      <c r="U51" s="9" t="str">
        <f>IF(AND(tblSMB[[#This Row],[segment]]&lt;&gt;"Ad Inefficient",tblSMB[[#This Row],[roas]]&lt;10),"Check: Low ROAS not flagged","")</f>
        <v/>
      </c>
      <c r="V51" s="10" t="s">
        <v>60</v>
      </c>
      <c r="W51" s="10" t="s">
        <v>61</v>
      </c>
      <c r="X51" s="10" t="s">
        <v>62</v>
      </c>
      <c r="Y51" s="2"/>
      <c r="AA51" s="1"/>
    </row>
    <row r="52" spans="1:27" ht="34" x14ac:dyDescent="0.2">
      <c r="A52" s="1" t="s">
        <v>70</v>
      </c>
      <c r="B52" s="11">
        <v>46027</v>
      </c>
      <c r="C52" s="1" t="s">
        <v>50</v>
      </c>
      <c r="D52" s="1" t="s">
        <v>43</v>
      </c>
      <c r="E52">
        <v>160</v>
      </c>
      <c r="F52">
        <v>5573.12</v>
      </c>
      <c r="G52">
        <v>664</v>
      </c>
      <c r="H52" s="4">
        <v>-0.14323</v>
      </c>
      <c r="I52" s="3">
        <v>6.8750000000000006E-2</v>
      </c>
      <c r="J52" s="3">
        <v>2.5000000000000001E-2</v>
      </c>
      <c r="K52">
        <v>25.76</v>
      </c>
      <c r="L52">
        <v>4.6500000000000004</v>
      </c>
      <c r="M52">
        <v>11.1</v>
      </c>
      <c r="N52">
        <v>0.13125000000000001</v>
      </c>
      <c r="O52" s="5">
        <v>65.898378378380002</v>
      </c>
      <c r="P52" s="6">
        <v>39</v>
      </c>
      <c r="Q52" s="1" t="s">
        <v>44</v>
      </c>
      <c r="R52" s="1" t="s">
        <v>59</v>
      </c>
      <c r="S52" s="7" cm="1">
        <f t="array" ref="S52">_xlfn.SWITCH(tblSMB[[#This Row],[segment]],
"At Risk",1,
"Ops Constrained",2,
"Ad Inefficient",3,
"High Potential",4,
"Core",5,99)</f>
        <v>1</v>
      </c>
      <c r="T52" s="7" t="str" cm="1">
        <f t="array" ref="T52">_xlfn.SWITCH(tblSMB[[#This Row],[segment]],
"At Risk","48 hours",
"Ops Constrained","72 hours",
"Ad Inefficient","1 week",
"High Potential","1 week",
"Core","2 weeks","")</f>
        <v>48 hours</v>
      </c>
      <c r="U52" s="9" t="str">
        <f>IF(AND(tblSMB[[#This Row],[segment]]&lt;&gt;"Ad Inefficient",tblSMB[[#This Row],[roas]]&lt;10),"Check: Low ROAS not flagged","")</f>
        <v/>
      </c>
      <c r="V52" s="10" t="s">
        <v>60</v>
      </c>
      <c r="W52" s="10" t="s">
        <v>61</v>
      </c>
      <c r="X52" s="10" t="s">
        <v>62</v>
      </c>
      <c r="Y52" s="2"/>
      <c r="AA52" s="1"/>
    </row>
    <row r="53" spans="1:27" ht="34" x14ac:dyDescent="0.2">
      <c r="A53" s="1" t="s">
        <v>92</v>
      </c>
      <c r="B53" s="11">
        <v>46027</v>
      </c>
      <c r="C53" s="1" t="s">
        <v>57</v>
      </c>
      <c r="D53" s="1" t="s">
        <v>43</v>
      </c>
      <c r="E53">
        <v>184</v>
      </c>
      <c r="F53">
        <v>6674.05</v>
      </c>
      <c r="G53">
        <v>653</v>
      </c>
      <c r="H53" s="4">
        <v>-0.11518</v>
      </c>
      <c r="I53" s="3">
        <v>7.0650000000000004E-2</v>
      </c>
      <c r="J53" s="3">
        <v>2.717E-2</v>
      </c>
      <c r="K53">
        <v>28.82</v>
      </c>
      <c r="L53">
        <v>4.72</v>
      </c>
      <c r="M53">
        <v>15.15</v>
      </c>
      <c r="N53">
        <v>0.13042999999999999</v>
      </c>
      <c r="O53" s="5">
        <v>57.460611485149997</v>
      </c>
      <c r="P53" s="6">
        <v>39</v>
      </c>
      <c r="Q53" s="1" t="s">
        <v>44</v>
      </c>
      <c r="R53" s="1" t="s">
        <v>59</v>
      </c>
      <c r="S53" s="7" cm="1">
        <f t="array" ref="S53">_xlfn.SWITCH(tblSMB[[#This Row],[segment]],
"At Risk",1,
"Ops Constrained",2,
"Ad Inefficient",3,
"High Potential",4,
"Core",5,99)</f>
        <v>1</v>
      </c>
      <c r="T53" s="7" t="str" cm="1">
        <f t="array" ref="T53">_xlfn.SWITCH(tblSMB[[#This Row],[segment]],
"At Risk","48 hours",
"Ops Constrained","72 hours",
"Ad Inefficient","1 week",
"High Potential","1 week",
"Core","2 weeks","")</f>
        <v>48 hours</v>
      </c>
      <c r="U53" s="9" t="str">
        <f>IF(AND(tblSMB[[#This Row],[segment]]&lt;&gt;"Ad Inefficient",tblSMB[[#This Row],[roas]]&lt;10),"Check: Low ROAS not flagged","")</f>
        <v/>
      </c>
      <c r="V53" s="10" t="s">
        <v>60</v>
      </c>
      <c r="W53" s="10" t="s">
        <v>61</v>
      </c>
      <c r="X53" s="10" t="s">
        <v>62</v>
      </c>
      <c r="Y53" s="2"/>
      <c r="AA53" s="1"/>
    </row>
    <row r="54" spans="1:27" ht="34" x14ac:dyDescent="0.2">
      <c r="A54" s="1" t="s">
        <v>121</v>
      </c>
      <c r="B54" s="11">
        <v>46027</v>
      </c>
      <c r="C54" s="1" t="s">
        <v>53</v>
      </c>
      <c r="D54" s="1" t="s">
        <v>23</v>
      </c>
      <c r="E54">
        <v>256</v>
      </c>
      <c r="F54">
        <v>4966.3</v>
      </c>
      <c r="G54">
        <v>987</v>
      </c>
      <c r="H54" s="4">
        <v>-6.3570000000000002E-2</v>
      </c>
      <c r="I54" s="3">
        <v>5.8590000000000003E-2</v>
      </c>
      <c r="J54" s="3">
        <v>3.5159999999999997E-2</v>
      </c>
      <c r="K54">
        <v>26.5</v>
      </c>
      <c r="L54">
        <v>4.2</v>
      </c>
      <c r="M54">
        <v>22.16</v>
      </c>
      <c r="N54">
        <v>9.7659999999999997E-2</v>
      </c>
      <c r="O54" s="5">
        <v>21.88584047834</v>
      </c>
      <c r="P54" s="6">
        <v>39</v>
      </c>
      <c r="Q54" s="1" t="s">
        <v>44</v>
      </c>
      <c r="R54" s="1" t="s">
        <v>59</v>
      </c>
      <c r="S54" s="7" cm="1">
        <f t="array" ref="S54">_xlfn.SWITCH(tblSMB[[#This Row],[segment]],
"At Risk",1,
"Ops Constrained",2,
"Ad Inefficient",3,
"High Potential",4,
"Core",5,99)</f>
        <v>1</v>
      </c>
      <c r="T54" s="7" t="str" cm="1">
        <f t="array" ref="T54">_xlfn.SWITCH(tblSMB[[#This Row],[segment]],
"At Risk","48 hours",
"Ops Constrained","72 hours",
"Ad Inefficient","1 week",
"High Potential","1 week",
"Core","2 weeks","")</f>
        <v>48 hours</v>
      </c>
      <c r="U54" s="9" t="str">
        <f>IF(AND(tblSMB[[#This Row],[segment]]&lt;&gt;"Ad Inefficient",tblSMB[[#This Row],[roas]]&lt;10),"Check: Low ROAS not flagged","")</f>
        <v/>
      </c>
      <c r="V54" s="10" t="s">
        <v>60</v>
      </c>
      <c r="W54" s="10" t="s">
        <v>61</v>
      </c>
      <c r="X54" s="10" t="s">
        <v>62</v>
      </c>
      <c r="Y54" s="2"/>
      <c r="AA54" s="1"/>
    </row>
    <row r="55" spans="1:27" ht="34" x14ac:dyDescent="0.2">
      <c r="A55" s="1" t="s">
        <v>148</v>
      </c>
      <c r="B55" s="11">
        <v>46027</v>
      </c>
      <c r="C55" s="1" t="s">
        <v>37</v>
      </c>
      <c r="D55" s="1" t="s">
        <v>58</v>
      </c>
      <c r="E55">
        <v>171</v>
      </c>
      <c r="F55">
        <v>3455.67</v>
      </c>
      <c r="G55">
        <v>764</v>
      </c>
      <c r="H55" s="4">
        <v>-4.9750000000000003E-2</v>
      </c>
      <c r="I55" s="3">
        <v>7.0180000000000006E-2</v>
      </c>
      <c r="J55" s="3">
        <v>3.5090000000000003E-2</v>
      </c>
      <c r="K55">
        <v>28.53</v>
      </c>
      <c r="L55">
        <v>4.54</v>
      </c>
      <c r="M55">
        <v>28.98</v>
      </c>
      <c r="N55">
        <v>0.20468</v>
      </c>
      <c r="O55" s="5">
        <v>24.406516908210001</v>
      </c>
      <c r="P55" s="6">
        <v>39</v>
      </c>
      <c r="Q55" s="1" t="s">
        <v>44</v>
      </c>
      <c r="R55" s="1" t="s">
        <v>59</v>
      </c>
      <c r="S55" s="7" cm="1">
        <f t="array" ref="S55">_xlfn.SWITCH(tblSMB[[#This Row],[segment]],
"At Risk",1,
"Ops Constrained",2,
"Ad Inefficient",3,
"High Potential",4,
"Core",5,99)</f>
        <v>1</v>
      </c>
      <c r="T55" s="7" t="str" cm="1">
        <f t="array" ref="T55">_xlfn.SWITCH(tblSMB[[#This Row],[segment]],
"At Risk","48 hours",
"Ops Constrained","72 hours",
"Ad Inefficient","1 week",
"High Potential","1 week",
"Core","2 weeks","")</f>
        <v>48 hours</v>
      </c>
      <c r="U55" s="9" t="str">
        <f>IF(AND(tblSMB[[#This Row],[segment]]&lt;&gt;"Ad Inefficient",tblSMB[[#This Row],[roas]]&lt;10),"Check: Low ROAS not flagged","")</f>
        <v/>
      </c>
      <c r="V55" s="10" t="s">
        <v>60</v>
      </c>
      <c r="W55" s="10" t="s">
        <v>61</v>
      </c>
      <c r="X55" s="10" t="s">
        <v>62</v>
      </c>
      <c r="Y55" s="2"/>
      <c r="AA55" s="1"/>
    </row>
    <row r="56" spans="1:27" ht="34" x14ac:dyDescent="0.2">
      <c r="A56" s="1" t="s">
        <v>90</v>
      </c>
      <c r="B56" s="11">
        <v>46027</v>
      </c>
      <c r="C56" s="1" t="s">
        <v>40</v>
      </c>
      <c r="D56" s="1" t="s">
        <v>54</v>
      </c>
      <c r="E56">
        <v>95</v>
      </c>
      <c r="F56">
        <v>4314.76</v>
      </c>
      <c r="G56">
        <v>319</v>
      </c>
      <c r="H56" s="4">
        <v>-0.14016000000000001</v>
      </c>
      <c r="I56" s="3">
        <v>5.2630000000000003E-2</v>
      </c>
      <c r="J56" s="3">
        <v>2.1049999999999999E-2</v>
      </c>
      <c r="K56">
        <v>43.93</v>
      </c>
      <c r="L56">
        <v>4.82</v>
      </c>
      <c r="M56">
        <v>14.96</v>
      </c>
      <c r="N56">
        <v>0.15789</v>
      </c>
      <c r="O56" s="5">
        <v>45.53996590909</v>
      </c>
      <c r="P56" s="6">
        <v>40</v>
      </c>
      <c r="Q56" s="1" t="s">
        <v>55</v>
      </c>
      <c r="R56" s="1" t="s">
        <v>45</v>
      </c>
      <c r="S56" s="7" cm="1">
        <f t="array" ref="S56">_xlfn.SWITCH(tblSMB[[#This Row],[segment]],
"At Risk",1,
"Ops Constrained",2,
"Ad Inefficient",3,
"High Potential",4,
"Core",5,99)</f>
        <v>2</v>
      </c>
      <c r="T56" s="7" t="str" cm="1">
        <f t="array" ref="T56">_xlfn.SWITCH(tblSMB[[#This Row],[segment]],
"At Risk","48 hours",
"Ops Constrained","72 hours",
"Ad Inefficient","1 week",
"High Potential","1 week",
"Core","2 weeks","")</f>
        <v>72 hours</v>
      </c>
      <c r="U56" s="9" t="str">
        <f>IF(AND(tblSMB[[#This Row],[segment]]&lt;&gt;"Ad Inefficient",tblSMB[[#This Row],[roas]]&lt;10),"Check: Low ROAS not flagged","")</f>
        <v/>
      </c>
      <c r="V56" s="10" t="s">
        <v>46</v>
      </c>
      <c r="W56" s="10" t="s">
        <v>47</v>
      </c>
      <c r="X56" s="10" t="s">
        <v>48</v>
      </c>
      <c r="Y56" s="2"/>
      <c r="AA56" s="1"/>
    </row>
    <row r="57" spans="1:27" ht="34" x14ac:dyDescent="0.2">
      <c r="A57" s="1" t="s">
        <v>251</v>
      </c>
      <c r="B57" s="11">
        <v>46027</v>
      </c>
      <c r="C57" s="1" t="s">
        <v>273</v>
      </c>
      <c r="D57" s="1" t="s">
        <v>38</v>
      </c>
      <c r="E57">
        <v>224</v>
      </c>
      <c r="F57">
        <v>5938.96</v>
      </c>
      <c r="G57">
        <v>795</v>
      </c>
      <c r="H57" s="4">
        <v>3.7859999999999998E-2</v>
      </c>
      <c r="I57" s="3">
        <v>6.25E-2</v>
      </c>
      <c r="J57" s="3">
        <v>3.125E-2</v>
      </c>
      <c r="K57">
        <v>37.229999999999997</v>
      </c>
      <c r="L57">
        <v>4.28</v>
      </c>
      <c r="M57">
        <v>97.73</v>
      </c>
      <c r="N57">
        <v>0.17857000000000001</v>
      </c>
      <c r="O57" s="5">
        <v>10.851617313009999</v>
      </c>
      <c r="P57" s="6">
        <v>40</v>
      </c>
      <c r="Q57" s="1" t="s">
        <v>44</v>
      </c>
      <c r="R57" s="1" t="s">
        <v>45</v>
      </c>
      <c r="S57" s="7" cm="1">
        <f t="array" ref="S57">_xlfn.SWITCH(tblSMB[[#This Row],[segment]],
"At Risk",1,
"Ops Constrained",2,
"Ad Inefficient",3,
"High Potential",4,
"Core",5,99)</f>
        <v>2</v>
      </c>
      <c r="T57" s="7" t="str" cm="1">
        <f t="array" ref="T57">_xlfn.SWITCH(tblSMB[[#This Row],[segment]],
"At Risk","48 hours",
"Ops Constrained","72 hours",
"Ad Inefficient","1 week",
"High Potential","1 week",
"Core","2 weeks","")</f>
        <v>72 hours</v>
      </c>
      <c r="U57" s="9" t="str">
        <f>IF(AND(tblSMB[[#This Row],[segment]]&lt;&gt;"Ad Inefficient",tblSMB[[#This Row],[roas]]&lt;10),"Check: Low ROAS not flagged","")</f>
        <v/>
      </c>
      <c r="V57" s="10" t="s">
        <v>46</v>
      </c>
      <c r="W57" s="10" t="s">
        <v>47</v>
      </c>
      <c r="X57" s="10" t="s">
        <v>48</v>
      </c>
      <c r="Y57" s="2"/>
      <c r="AA57" s="1"/>
    </row>
    <row r="58" spans="1:27" ht="34" x14ac:dyDescent="0.2">
      <c r="A58" s="1" t="s">
        <v>259</v>
      </c>
      <c r="B58" s="11">
        <v>46027</v>
      </c>
      <c r="C58" s="1" t="s">
        <v>53</v>
      </c>
      <c r="D58" s="1" t="s">
        <v>23</v>
      </c>
      <c r="E58">
        <v>280</v>
      </c>
      <c r="F58">
        <v>6686.68</v>
      </c>
      <c r="G58">
        <v>1021</v>
      </c>
      <c r="H58" s="4">
        <v>7.9000000000000008E-3</v>
      </c>
      <c r="I58" s="3">
        <v>6.7860000000000004E-2</v>
      </c>
      <c r="J58" s="3">
        <v>3.9289999999999999E-2</v>
      </c>
      <c r="K58">
        <v>27.54</v>
      </c>
      <c r="L58">
        <v>4.46</v>
      </c>
      <c r="M58">
        <v>119.82</v>
      </c>
      <c r="N58">
        <v>0.19286</v>
      </c>
      <c r="O58" s="5">
        <v>10.76259389084</v>
      </c>
      <c r="P58" s="6">
        <v>40</v>
      </c>
      <c r="Q58" s="1" t="s">
        <v>44</v>
      </c>
      <c r="R58" s="1" t="s">
        <v>45</v>
      </c>
      <c r="S58" s="7" cm="1">
        <f t="array" ref="S58">_xlfn.SWITCH(tblSMB[[#This Row],[segment]],
"At Risk",1,
"Ops Constrained",2,
"Ad Inefficient",3,
"High Potential",4,
"Core",5,99)</f>
        <v>2</v>
      </c>
      <c r="T58" s="7" t="str" cm="1">
        <f t="array" ref="T58">_xlfn.SWITCH(tblSMB[[#This Row],[segment]],
"At Risk","48 hours",
"Ops Constrained","72 hours",
"Ad Inefficient","1 week",
"High Potential","1 week",
"Core","2 weeks","")</f>
        <v>72 hours</v>
      </c>
      <c r="U58" s="9" t="str">
        <f>IF(AND(tblSMB[[#This Row],[segment]]&lt;&gt;"Ad Inefficient",tblSMB[[#This Row],[roas]]&lt;10),"Check: Low ROAS not flagged","")</f>
        <v/>
      </c>
      <c r="V58" s="10" t="s">
        <v>46</v>
      </c>
      <c r="W58" s="10" t="s">
        <v>47</v>
      </c>
      <c r="X58" s="10" t="s">
        <v>48</v>
      </c>
      <c r="Y58" s="2"/>
      <c r="AA58" s="1"/>
    </row>
    <row r="59" spans="1:27" ht="34" x14ac:dyDescent="0.2">
      <c r="A59" s="1" t="s">
        <v>167</v>
      </c>
      <c r="B59" s="11">
        <v>46027</v>
      </c>
      <c r="C59" s="1" t="s">
        <v>30</v>
      </c>
      <c r="D59" s="1" t="s">
        <v>31</v>
      </c>
      <c r="E59">
        <v>130</v>
      </c>
      <c r="F59">
        <v>1977.5</v>
      </c>
      <c r="G59">
        <v>471</v>
      </c>
      <c r="H59" s="4">
        <v>-0.14519000000000001</v>
      </c>
      <c r="I59" s="3">
        <v>4.6149999999999997E-2</v>
      </c>
      <c r="J59" s="3">
        <v>2.308E-2</v>
      </c>
      <c r="K59">
        <v>26.56</v>
      </c>
      <c r="L59">
        <v>4.5599999999999996</v>
      </c>
      <c r="M59">
        <v>33.14</v>
      </c>
      <c r="N59">
        <v>0.13846</v>
      </c>
      <c r="O59" s="5">
        <v>8.2621509957800008</v>
      </c>
      <c r="P59" s="6">
        <v>40</v>
      </c>
      <c r="Q59" s="1" t="s">
        <v>100</v>
      </c>
      <c r="R59" s="1" t="s">
        <v>168</v>
      </c>
      <c r="S59" s="7" cm="1">
        <f t="array" ref="S59">_xlfn.SWITCH(tblSMB[[#This Row],[segment]],
"At Risk",1,
"Ops Constrained",2,
"Ad Inefficient",3,
"High Potential",4,
"Core",5,99)</f>
        <v>3</v>
      </c>
      <c r="T59" s="7" t="str" cm="1">
        <f t="array" ref="T59">_xlfn.SWITCH(tblSMB[[#This Row],[segment]],
"At Risk","48 hours",
"Ops Constrained","72 hours",
"Ad Inefficient","1 week",
"High Potential","1 week",
"Core","2 weeks","")</f>
        <v>1 week</v>
      </c>
      <c r="U59" s="9" t="str">
        <f>IF(AND(tblSMB[[#This Row],[segment]]&lt;&gt;"Ad Inefficient",tblSMB[[#This Row],[roas]]&lt;10),"Check: Low ROAS not flagged","")</f>
        <v/>
      </c>
      <c r="V59" s="10" t="s">
        <v>169</v>
      </c>
      <c r="W59" s="10" t="s">
        <v>170</v>
      </c>
      <c r="X59" s="10" t="s">
        <v>171</v>
      </c>
      <c r="Y59" s="2"/>
      <c r="AA59" s="1"/>
    </row>
    <row r="60" spans="1:27" ht="34" x14ac:dyDescent="0.2">
      <c r="A60" s="1" t="s">
        <v>151</v>
      </c>
      <c r="B60" s="11">
        <v>46027</v>
      </c>
      <c r="C60" s="1" t="s">
        <v>57</v>
      </c>
      <c r="D60" s="1" t="s">
        <v>38</v>
      </c>
      <c r="E60">
        <v>117</v>
      </c>
      <c r="F60">
        <v>2975.26</v>
      </c>
      <c r="G60">
        <v>506</v>
      </c>
      <c r="H60" s="4">
        <v>-7.3260000000000006E-2</v>
      </c>
      <c r="I60" s="3">
        <v>5.1279999999999999E-2</v>
      </c>
      <c r="J60" s="3">
        <v>2.564E-2</v>
      </c>
      <c r="K60">
        <v>35.840000000000003</v>
      </c>
      <c r="L60">
        <v>4.38</v>
      </c>
      <c r="M60">
        <v>29.83</v>
      </c>
      <c r="N60">
        <v>0.19658</v>
      </c>
      <c r="O60" s="5">
        <v>19.607112939989999</v>
      </c>
      <c r="P60" s="6">
        <v>41</v>
      </c>
      <c r="Q60" s="1" t="s">
        <v>55</v>
      </c>
      <c r="R60" s="1" t="s">
        <v>45</v>
      </c>
      <c r="S60" s="7" cm="1">
        <f t="array" ref="S60">_xlfn.SWITCH(tblSMB[[#This Row],[segment]],
"At Risk",1,
"Ops Constrained",2,
"Ad Inefficient",3,
"High Potential",4,
"Core",5,99)</f>
        <v>2</v>
      </c>
      <c r="T60" s="7" t="str" cm="1">
        <f t="array" ref="T60">_xlfn.SWITCH(tblSMB[[#This Row],[segment]],
"At Risk","48 hours",
"Ops Constrained","72 hours",
"Ad Inefficient","1 week",
"High Potential","1 week",
"Core","2 weeks","")</f>
        <v>72 hours</v>
      </c>
      <c r="U60" s="9" t="str">
        <f>IF(AND(tblSMB[[#This Row],[segment]]&lt;&gt;"Ad Inefficient",tblSMB[[#This Row],[roas]]&lt;10),"Check: Low ROAS not flagged","")</f>
        <v/>
      </c>
      <c r="V60" s="10" t="s">
        <v>46</v>
      </c>
      <c r="W60" s="10" t="s">
        <v>47</v>
      </c>
      <c r="X60" s="10" t="s">
        <v>48</v>
      </c>
      <c r="Y60" s="2"/>
      <c r="AA60" s="1"/>
    </row>
    <row r="61" spans="1:27" ht="34" x14ac:dyDescent="0.2">
      <c r="A61" s="1" t="s">
        <v>157</v>
      </c>
      <c r="B61" s="11">
        <v>46027</v>
      </c>
      <c r="C61" s="1" t="s">
        <v>40</v>
      </c>
      <c r="D61" s="1" t="s">
        <v>23</v>
      </c>
      <c r="E61">
        <v>259</v>
      </c>
      <c r="F61">
        <v>6245.01</v>
      </c>
      <c r="G61">
        <v>1091</v>
      </c>
      <c r="H61" s="4">
        <v>-4.2139999999999997E-2</v>
      </c>
      <c r="I61" s="3">
        <v>5.7919999999999999E-2</v>
      </c>
      <c r="J61" s="3">
        <v>3.4750000000000003E-2</v>
      </c>
      <c r="K61">
        <v>33.21</v>
      </c>
      <c r="L61">
        <v>4.5999999999999996</v>
      </c>
      <c r="M61">
        <v>30.83</v>
      </c>
      <c r="N61">
        <v>0.12741</v>
      </c>
      <c r="O61" s="5">
        <v>25.80915549789</v>
      </c>
      <c r="P61" s="6">
        <v>41</v>
      </c>
      <c r="Q61" s="1" t="s">
        <v>44</v>
      </c>
      <c r="R61" s="1" t="s">
        <v>45</v>
      </c>
      <c r="S61" s="7" cm="1">
        <f t="array" ref="S61">_xlfn.SWITCH(tblSMB[[#This Row],[segment]],
"At Risk",1,
"Ops Constrained",2,
"Ad Inefficient",3,
"High Potential",4,
"Core",5,99)</f>
        <v>2</v>
      </c>
      <c r="T61" s="7" t="str" cm="1">
        <f t="array" ref="T61">_xlfn.SWITCH(tblSMB[[#This Row],[segment]],
"At Risk","48 hours",
"Ops Constrained","72 hours",
"Ad Inefficient","1 week",
"High Potential","1 week",
"Core","2 weeks","")</f>
        <v>72 hours</v>
      </c>
      <c r="U61" s="9" t="str">
        <f>IF(AND(tblSMB[[#This Row],[segment]]&lt;&gt;"Ad Inefficient",tblSMB[[#This Row],[roas]]&lt;10),"Check: Low ROAS not flagged","")</f>
        <v/>
      </c>
      <c r="V61" s="10" t="s">
        <v>46</v>
      </c>
      <c r="W61" s="10" t="s">
        <v>47</v>
      </c>
      <c r="X61" s="10" t="s">
        <v>48</v>
      </c>
      <c r="Y61" s="2"/>
      <c r="AA61" s="1"/>
    </row>
    <row r="62" spans="1:27" ht="34" x14ac:dyDescent="0.2">
      <c r="A62" s="1" t="s">
        <v>153</v>
      </c>
      <c r="B62" s="11">
        <v>46027</v>
      </c>
      <c r="C62" s="1" t="s">
        <v>68</v>
      </c>
      <c r="D62" s="1" t="s">
        <v>54</v>
      </c>
      <c r="E62">
        <v>198</v>
      </c>
      <c r="F62">
        <v>8714.8700000000008</v>
      </c>
      <c r="G62">
        <v>732</v>
      </c>
      <c r="H62" s="4">
        <v>-0.12648999999999999</v>
      </c>
      <c r="I62" s="3">
        <v>5.5559999999999998E-2</v>
      </c>
      <c r="J62" s="3">
        <v>2.0199999999999999E-2</v>
      </c>
      <c r="K62">
        <v>40.42</v>
      </c>
      <c r="L62">
        <v>4.8</v>
      </c>
      <c r="M62">
        <v>30.56</v>
      </c>
      <c r="N62">
        <v>0.16162000000000001</v>
      </c>
      <c r="O62" s="5">
        <v>46.08847643979</v>
      </c>
      <c r="P62" s="6">
        <v>42</v>
      </c>
      <c r="Q62" s="1" t="s">
        <v>55</v>
      </c>
      <c r="R62" s="1" t="s">
        <v>59</v>
      </c>
      <c r="S62" s="7" cm="1">
        <f t="array" ref="S62">_xlfn.SWITCH(tblSMB[[#This Row],[segment]],
"At Risk",1,
"Ops Constrained",2,
"Ad Inefficient",3,
"High Potential",4,
"Core",5,99)</f>
        <v>1</v>
      </c>
      <c r="T62" s="7" t="str" cm="1">
        <f t="array" ref="T62">_xlfn.SWITCH(tblSMB[[#This Row],[segment]],
"At Risk","48 hours",
"Ops Constrained","72 hours",
"Ad Inefficient","1 week",
"High Potential","1 week",
"Core","2 weeks","")</f>
        <v>48 hours</v>
      </c>
      <c r="U62" s="9" t="str">
        <f>IF(AND(tblSMB[[#This Row],[segment]]&lt;&gt;"Ad Inefficient",tblSMB[[#This Row],[roas]]&lt;10),"Check: Low ROAS not flagged","")</f>
        <v/>
      </c>
      <c r="V62" s="10" t="s">
        <v>60</v>
      </c>
      <c r="W62" s="10" t="s">
        <v>61</v>
      </c>
      <c r="X62" s="10" t="s">
        <v>62</v>
      </c>
      <c r="Y62" s="2"/>
      <c r="AA62" s="1"/>
    </row>
    <row r="63" spans="1:27" ht="34" x14ac:dyDescent="0.2">
      <c r="A63" s="1" t="s">
        <v>105</v>
      </c>
      <c r="B63" s="11">
        <v>46027</v>
      </c>
      <c r="C63" s="1" t="s">
        <v>50</v>
      </c>
      <c r="D63" s="1" t="s">
        <v>43</v>
      </c>
      <c r="E63">
        <v>135</v>
      </c>
      <c r="F63">
        <v>4088.02</v>
      </c>
      <c r="G63">
        <v>615</v>
      </c>
      <c r="H63" s="4">
        <v>-4.9459999999999997E-2</v>
      </c>
      <c r="I63" s="3">
        <v>7.4069999999999997E-2</v>
      </c>
      <c r="J63" s="3">
        <v>2.222E-2</v>
      </c>
      <c r="K63">
        <v>33.47</v>
      </c>
      <c r="L63">
        <v>4.32</v>
      </c>
      <c r="M63">
        <v>18.28</v>
      </c>
      <c r="N63">
        <v>0.17777999999999999</v>
      </c>
      <c r="O63" s="5">
        <v>39.757063457329998</v>
      </c>
      <c r="P63" s="6">
        <v>42</v>
      </c>
      <c r="Q63" s="1" t="s">
        <v>44</v>
      </c>
      <c r="R63" s="1" t="s">
        <v>45</v>
      </c>
      <c r="S63" s="7" cm="1">
        <f t="array" ref="S63">_xlfn.SWITCH(tblSMB[[#This Row],[segment]],
"At Risk",1,
"Ops Constrained",2,
"Ad Inefficient",3,
"High Potential",4,
"Core",5,99)</f>
        <v>2</v>
      </c>
      <c r="T63" s="7" t="str" cm="1">
        <f t="array" ref="T63">_xlfn.SWITCH(tblSMB[[#This Row],[segment]],
"At Risk","48 hours",
"Ops Constrained","72 hours",
"Ad Inefficient","1 week",
"High Potential","1 week",
"Core","2 weeks","")</f>
        <v>72 hours</v>
      </c>
      <c r="U63" s="9" t="str">
        <f>IF(AND(tblSMB[[#This Row],[segment]]&lt;&gt;"Ad Inefficient",tblSMB[[#This Row],[roas]]&lt;10),"Check: Low ROAS not flagged","")</f>
        <v/>
      </c>
      <c r="V63" s="10" t="s">
        <v>46</v>
      </c>
      <c r="W63" s="10" t="s">
        <v>47</v>
      </c>
      <c r="X63" s="10" t="s">
        <v>48</v>
      </c>
      <c r="Y63" s="2"/>
      <c r="AA63" s="1"/>
    </row>
    <row r="64" spans="1:27" ht="34" x14ac:dyDescent="0.2">
      <c r="A64" s="1" t="s">
        <v>200</v>
      </c>
      <c r="B64" s="11">
        <v>46027</v>
      </c>
      <c r="C64" s="1" t="s">
        <v>273</v>
      </c>
      <c r="D64" s="1" t="s">
        <v>58</v>
      </c>
      <c r="E64">
        <v>213</v>
      </c>
      <c r="F64">
        <v>3288.81</v>
      </c>
      <c r="G64">
        <v>793</v>
      </c>
      <c r="H64" s="4">
        <v>-8.2180000000000003E-2</v>
      </c>
      <c r="I64" s="3">
        <v>5.1639999999999998E-2</v>
      </c>
      <c r="J64" s="3">
        <v>2.8170000000000001E-2</v>
      </c>
      <c r="K64">
        <v>25.85</v>
      </c>
      <c r="L64">
        <v>4.3899999999999997</v>
      </c>
      <c r="M64">
        <v>43.8</v>
      </c>
      <c r="N64">
        <v>0.15023</v>
      </c>
      <c r="O64" s="5">
        <v>11.280674337900001</v>
      </c>
      <c r="P64" s="6">
        <v>42</v>
      </c>
      <c r="Q64" s="1" t="s">
        <v>100</v>
      </c>
      <c r="R64" s="1" t="s">
        <v>168</v>
      </c>
      <c r="S64" s="7" cm="1">
        <f t="array" ref="S64">_xlfn.SWITCH(tblSMB[[#This Row],[segment]],
"At Risk",1,
"Ops Constrained",2,
"Ad Inefficient",3,
"High Potential",4,
"Core",5,99)</f>
        <v>3</v>
      </c>
      <c r="T64" s="7" t="str" cm="1">
        <f t="array" ref="T64">_xlfn.SWITCH(tblSMB[[#This Row],[segment]],
"At Risk","48 hours",
"Ops Constrained","72 hours",
"Ad Inefficient","1 week",
"High Potential","1 week",
"Core","2 weeks","")</f>
        <v>1 week</v>
      </c>
      <c r="U64" s="9" t="str">
        <f>IF(AND(tblSMB[[#This Row],[segment]]&lt;&gt;"Ad Inefficient",tblSMB[[#This Row],[roas]]&lt;10),"Check: Low ROAS not flagged","")</f>
        <v/>
      </c>
      <c r="V64" s="10" t="s">
        <v>169</v>
      </c>
      <c r="W64" s="10" t="s">
        <v>170</v>
      </c>
      <c r="X64" s="10" t="s">
        <v>171</v>
      </c>
      <c r="Y64" s="2"/>
      <c r="AA64" s="1"/>
    </row>
    <row r="65" spans="1:27" ht="34" x14ac:dyDescent="0.2">
      <c r="A65" s="1" t="s">
        <v>252</v>
      </c>
      <c r="B65" s="11">
        <v>46027</v>
      </c>
      <c r="C65" s="1" t="s">
        <v>57</v>
      </c>
      <c r="D65" s="1" t="s">
        <v>58</v>
      </c>
      <c r="E65">
        <v>271</v>
      </c>
      <c r="F65">
        <v>4938</v>
      </c>
      <c r="G65">
        <v>1009</v>
      </c>
      <c r="H65" s="4">
        <v>-4.5409999999999999E-2</v>
      </c>
      <c r="I65" s="3">
        <v>5.5350000000000003E-2</v>
      </c>
      <c r="J65" s="3">
        <v>2.9520000000000001E-2</v>
      </c>
      <c r="K65">
        <v>28.72</v>
      </c>
      <c r="L65">
        <v>4.54</v>
      </c>
      <c r="M65">
        <v>101.52</v>
      </c>
      <c r="N65">
        <v>0.18819</v>
      </c>
      <c r="O65" s="5">
        <v>9.1537776004700007</v>
      </c>
      <c r="P65" s="6">
        <v>42</v>
      </c>
      <c r="Q65" s="1" t="s">
        <v>65</v>
      </c>
      <c r="R65" s="1" t="s">
        <v>168</v>
      </c>
      <c r="S65" s="7" cm="1">
        <f t="array" ref="S65">_xlfn.SWITCH(tblSMB[[#This Row],[segment]],
"At Risk",1,
"Ops Constrained",2,
"Ad Inefficient",3,
"High Potential",4,
"Core",5,99)</f>
        <v>3</v>
      </c>
      <c r="T65" s="7" t="str" cm="1">
        <f t="array" ref="T65">_xlfn.SWITCH(tblSMB[[#This Row],[segment]],
"At Risk","48 hours",
"Ops Constrained","72 hours",
"Ad Inefficient","1 week",
"High Potential","1 week",
"Core","2 weeks","")</f>
        <v>1 week</v>
      </c>
      <c r="U65" s="9" t="str">
        <f>IF(AND(tblSMB[[#This Row],[segment]]&lt;&gt;"Ad Inefficient",tblSMB[[#This Row],[roas]]&lt;10),"Check: Low ROAS not flagged","")</f>
        <v/>
      </c>
      <c r="V65" s="10" t="s">
        <v>169</v>
      </c>
      <c r="W65" s="10" t="s">
        <v>170</v>
      </c>
      <c r="X65" s="10" t="s">
        <v>171</v>
      </c>
      <c r="Y65" s="2"/>
      <c r="AA65" s="1"/>
    </row>
    <row r="66" spans="1:27" ht="34" x14ac:dyDescent="0.2">
      <c r="A66" s="1" t="s">
        <v>104</v>
      </c>
      <c r="B66" s="11">
        <v>46027</v>
      </c>
      <c r="C66" s="1" t="s">
        <v>30</v>
      </c>
      <c r="D66" s="1" t="s">
        <v>23</v>
      </c>
      <c r="E66">
        <v>143</v>
      </c>
      <c r="F66">
        <v>2830.77</v>
      </c>
      <c r="G66">
        <v>600</v>
      </c>
      <c r="H66" s="4">
        <v>-0.14163000000000001</v>
      </c>
      <c r="I66" s="3">
        <v>4.895E-2</v>
      </c>
      <c r="J66" s="3">
        <v>2.7969999999999998E-2</v>
      </c>
      <c r="K66">
        <v>25.32</v>
      </c>
      <c r="L66">
        <v>4.5199999999999996</v>
      </c>
      <c r="M66">
        <v>18.010000000000002</v>
      </c>
      <c r="N66">
        <v>0.16783000000000001</v>
      </c>
      <c r="O66" s="5">
        <v>26.379470072179998</v>
      </c>
      <c r="P66" s="6">
        <v>42</v>
      </c>
      <c r="Q66" s="1" t="s">
        <v>41</v>
      </c>
      <c r="R66" s="1" t="s">
        <v>25</v>
      </c>
      <c r="S66" s="7" cm="1">
        <f t="array" ref="S66">_xlfn.SWITCH(tblSMB[[#This Row],[segment]],
"At Risk",1,
"Ops Constrained",2,
"Ad Inefficient",3,
"High Potential",4,
"Core",5,99)</f>
        <v>5</v>
      </c>
      <c r="T66" s="7" t="str" cm="1">
        <f t="array" ref="T66">_xlfn.SWITCH(tblSMB[[#This Row],[segment]],
"At Risk","48 hours",
"Ops Constrained","72 hours",
"Ad Inefficient","1 week",
"High Potential","1 week",
"Core","2 weeks","")</f>
        <v>2 weeks</v>
      </c>
      <c r="U66" s="9" t="str">
        <f>IF(AND(tblSMB[[#This Row],[segment]]&lt;&gt;"Ad Inefficient",tblSMB[[#This Row],[roas]]&lt;10),"Check: Low ROAS not flagged","")</f>
        <v/>
      </c>
      <c r="V66" s="10" t="s">
        <v>26</v>
      </c>
      <c r="W66" s="10" t="s">
        <v>27</v>
      </c>
      <c r="X66" s="10" t="s">
        <v>28</v>
      </c>
      <c r="Y66" s="2"/>
      <c r="AA66" s="1"/>
    </row>
    <row r="67" spans="1:27" ht="34" x14ac:dyDescent="0.2">
      <c r="A67" s="1" t="s">
        <v>114</v>
      </c>
      <c r="B67" s="11">
        <v>46027</v>
      </c>
      <c r="C67" s="1" t="s">
        <v>53</v>
      </c>
      <c r="D67" s="1" t="s">
        <v>23</v>
      </c>
      <c r="E67">
        <v>102</v>
      </c>
      <c r="F67">
        <v>2091.86</v>
      </c>
      <c r="G67">
        <v>430</v>
      </c>
      <c r="H67" s="4">
        <v>-0.18406</v>
      </c>
      <c r="I67" s="3">
        <v>4.9020000000000001E-2</v>
      </c>
      <c r="J67" s="3">
        <v>1.9609999999999999E-2</v>
      </c>
      <c r="K67">
        <v>27.47</v>
      </c>
      <c r="L67">
        <v>4.5599999999999996</v>
      </c>
      <c r="M67">
        <v>20.14</v>
      </c>
      <c r="N67">
        <v>0.20588000000000001</v>
      </c>
      <c r="O67" s="5">
        <v>21.384163406159999</v>
      </c>
      <c r="P67" s="6">
        <v>42</v>
      </c>
      <c r="Q67" s="1" t="s">
        <v>41</v>
      </c>
      <c r="R67" s="1" t="s">
        <v>25</v>
      </c>
      <c r="S67" s="7" cm="1">
        <f t="array" ref="S67">_xlfn.SWITCH(tblSMB[[#This Row],[segment]],
"At Risk",1,
"Ops Constrained",2,
"Ad Inefficient",3,
"High Potential",4,
"Core",5,99)</f>
        <v>5</v>
      </c>
      <c r="T67" s="7" t="str" cm="1">
        <f t="array" ref="T67">_xlfn.SWITCH(tblSMB[[#This Row],[segment]],
"At Risk","48 hours",
"Ops Constrained","72 hours",
"Ad Inefficient","1 week",
"High Potential","1 week",
"Core","2 weeks","")</f>
        <v>2 weeks</v>
      </c>
      <c r="U67" s="9" t="str">
        <f>IF(AND(tblSMB[[#This Row],[segment]]&lt;&gt;"Ad Inefficient",tblSMB[[#This Row],[roas]]&lt;10),"Check: Low ROAS not flagged","")</f>
        <v/>
      </c>
      <c r="V67" s="10" t="s">
        <v>26</v>
      </c>
      <c r="W67" s="10" t="s">
        <v>27</v>
      </c>
      <c r="X67" s="10" t="s">
        <v>28</v>
      </c>
      <c r="Y67" s="2"/>
      <c r="AA67" s="1"/>
    </row>
    <row r="68" spans="1:27" ht="34" x14ac:dyDescent="0.2">
      <c r="A68" s="1" t="s">
        <v>165</v>
      </c>
      <c r="B68" s="11">
        <v>46027</v>
      </c>
      <c r="C68" s="1" t="s">
        <v>37</v>
      </c>
      <c r="D68" s="1" t="s">
        <v>43</v>
      </c>
      <c r="E68">
        <v>125</v>
      </c>
      <c r="F68">
        <v>4016.8</v>
      </c>
      <c r="G68">
        <v>479</v>
      </c>
      <c r="H68" s="4">
        <v>-9.7930000000000003E-2</v>
      </c>
      <c r="I68" s="3">
        <v>5.6000000000000001E-2</v>
      </c>
      <c r="J68" s="3">
        <v>2.4E-2</v>
      </c>
      <c r="K68">
        <v>31.51</v>
      </c>
      <c r="L68">
        <v>4.6900000000000004</v>
      </c>
      <c r="M68">
        <v>32.979999999999997</v>
      </c>
      <c r="N68">
        <v>0.17599999999999999</v>
      </c>
      <c r="O68" s="5">
        <v>21.435924802910002</v>
      </c>
      <c r="P68" s="6">
        <v>42</v>
      </c>
      <c r="Q68" s="1" t="s">
        <v>24</v>
      </c>
      <c r="R68" s="1" t="s">
        <v>25</v>
      </c>
      <c r="S68" s="7" cm="1">
        <f t="array" ref="S68">_xlfn.SWITCH(tblSMB[[#This Row],[segment]],
"At Risk",1,
"Ops Constrained",2,
"Ad Inefficient",3,
"High Potential",4,
"Core",5,99)</f>
        <v>5</v>
      </c>
      <c r="T68" s="7" t="str" cm="1">
        <f t="array" ref="T68">_xlfn.SWITCH(tblSMB[[#This Row],[segment]],
"At Risk","48 hours",
"Ops Constrained","72 hours",
"Ad Inefficient","1 week",
"High Potential","1 week",
"Core","2 weeks","")</f>
        <v>2 weeks</v>
      </c>
      <c r="U68" s="9" t="str">
        <f>IF(AND(tblSMB[[#This Row],[segment]]&lt;&gt;"Ad Inefficient",tblSMB[[#This Row],[roas]]&lt;10),"Check: Low ROAS not flagged","")</f>
        <v/>
      </c>
      <c r="V68" s="10" t="s">
        <v>26</v>
      </c>
      <c r="W68" s="10" t="s">
        <v>27</v>
      </c>
      <c r="X68" s="10" t="s">
        <v>28</v>
      </c>
      <c r="Y68" s="2"/>
      <c r="AA68" s="1"/>
    </row>
    <row r="69" spans="1:27" ht="34" x14ac:dyDescent="0.2">
      <c r="A69" s="1" t="s">
        <v>238</v>
      </c>
      <c r="B69" s="11">
        <v>46027</v>
      </c>
      <c r="C69" s="1" t="s">
        <v>22</v>
      </c>
      <c r="D69" s="1" t="s">
        <v>38</v>
      </c>
      <c r="E69">
        <v>245</v>
      </c>
      <c r="F69">
        <v>5900.97</v>
      </c>
      <c r="G69">
        <v>978</v>
      </c>
      <c r="H69" s="4">
        <v>-3.6450000000000003E-2</v>
      </c>
      <c r="I69" s="3">
        <v>5.3060000000000003E-2</v>
      </c>
      <c r="J69" s="3">
        <v>2.8570000000000002E-2</v>
      </c>
      <c r="K69">
        <v>31.1</v>
      </c>
      <c r="L69">
        <v>4.25</v>
      </c>
      <c r="M69">
        <v>63.72</v>
      </c>
      <c r="N69">
        <v>0.15101999999999999</v>
      </c>
      <c r="O69" s="5">
        <v>13.985670182050001</v>
      </c>
      <c r="P69" s="6">
        <v>42</v>
      </c>
      <c r="Q69" s="1" t="s">
        <v>24</v>
      </c>
      <c r="R69" s="1" t="s">
        <v>25</v>
      </c>
      <c r="S69" s="7" cm="1">
        <f t="array" ref="S69">_xlfn.SWITCH(tblSMB[[#This Row],[segment]],
"At Risk",1,
"Ops Constrained",2,
"Ad Inefficient",3,
"High Potential",4,
"Core",5,99)</f>
        <v>5</v>
      </c>
      <c r="T69" s="7" t="str" cm="1">
        <f t="array" ref="T69">_xlfn.SWITCH(tblSMB[[#This Row],[segment]],
"At Risk","48 hours",
"Ops Constrained","72 hours",
"Ad Inefficient","1 week",
"High Potential","1 week",
"Core","2 weeks","")</f>
        <v>2 weeks</v>
      </c>
      <c r="U69" s="9" t="str">
        <f>IF(AND(tblSMB[[#This Row],[segment]]&lt;&gt;"Ad Inefficient",tblSMB[[#This Row],[roas]]&lt;10),"Check: Low ROAS not flagged","")</f>
        <v/>
      </c>
      <c r="V69" s="10" t="s">
        <v>26</v>
      </c>
      <c r="W69" s="10" t="s">
        <v>27</v>
      </c>
      <c r="X69" s="10" t="s">
        <v>28</v>
      </c>
      <c r="Y69" s="2"/>
      <c r="AA69" s="1"/>
    </row>
    <row r="70" spans="1:27" ht="34" x14ac:dyDescent="0.2">
      <c r="A70" s="1" t="s">
        <v>149</v>
      </c>
      <c r="B70" s="11">
        <v>46027</v>
      </c>
      <c r="C70" s="1" t="s">
        <v>22</v>
      </c>
      <c r="D70" s="1" t="s">
        <v>43</v>
      </c>
      <c r="E70">
        <v>125</v>
      </c>
      <c r="F70">
        <v>4510</v>
      </c>
      <c r="G70">
        <v>434</v>
      </c>
      <c r="H70" s="4">
        <v>-6.2630000000000005E-2</v>
      </c>
      <c r="I70" s="3">
        <v>6.4000000000000001E-2</v>
      </c>
      <c r="J70" s="3">
        <v>2.4E-2</v>
      </c>
      <c r="K70">
        <v>28.98</v>
      </c>
      <c r="L70">
        <v>4.6100000000000003</v>
      </c>
      <c r="M70">
        <v>29.37</v>
      </c>
      <c r="N70">
        <v>0.112</v>
      </c>
      <c r="O70" s="5">
        <v>17.19850187266</v>
      </c>
      <c r="P70" s="6">
        <v>43</v>
      </c>
      <c r="Q70" s="1" t="s">
        <v>44</v>
      </c>
      <c r="R70" s="1" t="s">
        <v>45</v>
      </c>
      <c r="S70" s="7" cm="1">
        <f t="array" ref="S70">_xlfn.SWITCH(tblSMB[[#This Row],[segment]],
"At Risk",1,
"Ops Constrained",2,
"Ad Inefficient",3,
"High Potential",4,
"Core",5,99)</f>
        <v>2</v>
      </c>
      <c r="T70" s="7" t="str" cm="1">
        <f t="array" ref="T70">_xlfn.SWITCH(tblSMB[[#This Row],[segment]],
"At Risk","48 hours",
"Ops Constrained","72 hours",
"Ad Inefficient","1 week",
"High Potential","1 week",
"Core","2 weeks","")</f>
        <v>72 hours</v>
      </c>
      <c r="U70" s="9" t="str">
        <f>IF(AND(tblSMB[[#This Row],[segment]]&lt;&gt;"Ad Inefficient",tblSMB[[#This Row],[roas]]&lt;10),"Check: Low ROAS not flagged","")</f>
        <v/>
      </c>
      <c r="V70" s="10" t="s">
        <v>46</v>
      </c>
      <c r="W70" s="10" t="s">
        <v>47</v>
      </c>
      <c r="X70" s="10" t="s">
        <v>48</v>
      </c>
      <c r="Y70" s="2"/>
      <c r="AA70" s="1"/>
    </row>
    <row r="71" spans="1:27" ht="34" x14ac:dyDescent="0.2">
      <c r="A71" s="1" t="s">
        <v>198</v>
      </c>
      <c r="B71" s="11">
        <v>46027</v>
      </c>
      <c r="C71" s="1" t="s">
        <v>22</v>
      </c>
      <c r="D71" s="1" t="s">
        <v>43</v>
      </c>
      <c r="E71">
        <v>140</v>
      </c>
      <c r="F71">
        <v>4895.3</v>
      </c>
      <c r="G71">
        <v>522</v>
      </c>
      <c r="H71" s="4">
        <v>9.6699999999999998E-3</v>
      </c>
      <c r="I71" s="3">
        <v>7.8570000000000001E-2</v>
      </c>
      <c r="J71" s="3">
        <v>3.5709999999999999E-2</v>
      </c>
      <c r="K71">
        <v>28.74</v>
      </c>
      <c r="L71">
        <v>4.51</v>
      </c>
      <c r="M71">
        <v>42.85</v>
      </c>
      <c r="N71">
        <v>0.19286</v>
      </c>
      <c r="O71" s="5">
        <v>22.03252235706</v>
      </c>
      <c r="P71" s="6">
        <v>43</v>
      </c>
      <c r="Q71" s="1" t="s">
        <v>44</v>
      </c>
      <c r="R71" s="1" t="s">
        <v>45</v>
      </c>
      <c r="S71" s="7" cm="1">
        <f t="array" ref="S71">_xlfn.SWITCH(tblSMB[[#This Row],[segment]],
"At Risk",1,
"Ops Constrained",2,
"Ad Inefficient",3,
"High Potential",4,
"Core",5,99)</f>
        <v>2</v>
      </c>
      <c r="T71" s="7" t="str" cm="1">
        <f t="array" ref="T71">_xlfn.SWITCH(tblSMB[[#This Row],[segment]],
"At Risk","48 hours",
"Ops Constrained","72 hours",
"Ad Inefficient","1 week",
"High Potential","1 week",
"Core","2 weeks","")</f>
        <v>72 hours</v>
      </c>
      <c r="U71" s="9" t="str">
        <f>IF(AND(tblSMB[[#This Row],[segment]]&lt;&gt;"Ad Inefficient",tblSMB[[#This Row],[roas]]&lt;10),"Check: Low ROAS not flagged","")</f>
        <v/>
      </c>
      <c r="V71" s="10" t="s">
        <v>46</v>
      </c>
      <c r="W71" s="10" t="s">
        <v>47</v>
      </c>
      <c r="X71" s="10" t="s">
        <v>48</v>
      </c>
      <c r="Y71" s="2"/>
      <c r="AA71" s="1"/>
    </row>
    <row r="72" spans="1:27" ht="34" x14ac:dyDescent="0.2">
      <c r="A72" s="1" t="s">
        <v>207</v>
      </c>
      <c r="B72" s="11">
        <v>46027</v>
      </c>
      <c r="C72" s="1" t="s">
        <v>40</v>
      </c>
      <c r="D72" s="1" t="s">
        <v>23</v>
      </c>
      <c r="E72">
        <v>290</v>
      </c>
      <c r="F72">
        <v>5440.23</v>
      </c>
      <c r="G72">
        <v>1153</v>
      </c>
      <c r="H72" s="4">
        <v>2.946E-2</v>
      </c>
      <c r="I72" s="3">
        <v>5.1720000000000002E-2</v>
      </c>
      <c r="J72" s="3">
        <v>3.1029999999999999E-2</v>
      </c>
      <c r="K72">
        <v>36.44</v>
      </c>
      <c r="L72">
        <v>4.07</v>
      </c>
      <c r="M72">
        <v>46.71</v>
      </c>
      <c r="N72">
        <v>6.8970000000000004E-2</v>
      </c>
      <c r="O72" s="5">
        <v>8.0322903018599998</v>
      </c>
      <c r="P72" s="6">
        <v>43</v>
      </c>
      <c r="Q72" s="1" t="s">
        <v>55</v>
      </c>
      <c r="R72" s="1" t="s">
        <v>45</v>
      </c>
      <c r="S72" s="7" cm="1">
        <f t="array" ref="S72">_xlfn.SWITCH(tblSMB[[#This Row],[segment]],
"At Risk",1,
"Ops Constrained",2,
"Ad Inefficient",3,
"High Potential",4,
"Core",5,99)</f>
        <v>2</v>
      </c>
      <c r="T72" s="7" t="str" cm="1">
        <f t="array" ref="T72">_xlfn.SWITCH(tblSMB[[#This Row],[segment]],
"At Risk","48 hours",
"Ops Constrained","72 hours",
"Ad Inefficient","1 week",
"High Potential","1 week",
"Core","2 weeks","")</f>
        <v>72 hours</v>
      </c>
      <c r="U72" s="9" t="str">
        <f>IF(AND(tblSMB[[#This Row],[segment]]&lt;&gt;"Ad Inefficient",tblSMB[[#This Row],[roas]]&lt;10),"Check: Low ROAS not flagged","")</f>
        <v>Check: Low ROAS not flagged</v>
      </c>
      <c r="V72" s="10" t="s">
        <v>46</v>
      </c>
      <c r="W72" s="10" t="s">
        <v>47</v>
      </c>
      <c r="X72" s="10" t="s">
        <v>48</v>
      </c>
      <c r="Y72" s="2"/>
      <c r="AA72" s="1"/>
    </row>
    <row r="73" spans="1:27" ht="34" x14ac:dyDescent="0.2">
      <c r="A73" s="1" t="s">
        <v>188</v>
      </c>
      <c r="B73" s="11">
        <v>46027</v>
      </c>
      <c r="C73" s="1" t="s">
        <v>273</v>
      </c>
      <c r="D73" s="1" t="s">
        <v>58</v>
      </c>
      <c r="E73">
        <v>257</v>
      </c>
      <c r="F73">
        <v>4030.63</v>
      </c>
      <c r="G73">
        <v>954</v>
      </c>
      <c r="H73" s="4">
        <v>-6.4710000000000004E-2</v>
      </c>
      <c r="I73" s="3">
        <v>5.058E-2</v>
      </c>
      <c r="J73" s="3">
        <v>3.1130000000000001E-2</v>
      </c>
      <c r="K73">
        <v>25.9</v>
      </c>
      <c r="L73">
        <v>4.28</v>
      </c>
      <c r="M73">
        <v>37.58</v>
      </c>
      <c r="N73">
        <v>0.10895000000000001</v>
      </c>
      <c r="O73" s="5">
        <v>11.685332091539999</v>
      </c>
      <c r="P73" s="6">
        <v>43</v>
      </c>
      <c r="Q73" s="1" t="s">
        <v>65</v>
      </c>
      <c r="R73" s="1" t="s">
        <v>168</v>
      </c>
      <c r="S73" s="7" cm="1">
        <f t="array" ref="S73">_xlfn.SWITCH(tblSMB[[#This Row],[segment]],
"At Risk",1,
"Ops Constrained",2,
"Ad Inefficient",3,
"High Potential",4,
"Core",5,99)</f>
        <v>3</v>
      </c>
      <c r="T73" s="7" t="str" cm="1">
        <f t="array" ref="T73">_xlfn.SWITCH(tblSMB[[#This Row],[segment]],
"At Risk","48 hours",
"Ops Constrained","72 hours",
"Ad Inefficient","1 week",
"High Potential","1 week",
"Core","2 weeks","")</f>
        <v>1 week</v>
      </c>
      <c r="U73" s="9" t="str">
        <f>IF(AND(tblSMB[[#This Row],[segment]]&lt;&gt;"Ad Inefficient",tblSMB[[#This Row],[roas]]&lt;10),"Check: Low ROAS not flagged","")</f>
        <v/>
      </c>
      <c r="V73" s="10" t="s">
        <v>169</v>
      </c>
      <c r="W73" s="10" t="s">
        <v>170</v>
      </c>
      <c r="X73" s="10" t="s">
        <v>171</v>
      </c>
      <c r="Y73" s="2"/>
      <c r="AA73" s="1"/>
    </row>
    <row r="74" spans="1:27" ht="34" x14ac:dyDescent="0.2">
      <c r="A74" s="1" t="s">
        <v>242</v>
      </c>
      <c r="B74" s="11">
        <v>46027</v>
      </c>
      <c r="C74" s="1" t="s">
        <v>30</v>
      </c>
      <c r="D74" s="1" t="s">
        <v>23</v>
      </c>
      <c r="E74">
        <v>226</v>
      </c>
      <c r="F74">
        <v>4778.09</v>
      </c>
      <c r="G74">
        <v>796</v>
      </c>
      <c r="H74" s="4">
        <v>-0.14038999999999999</v>
      </c>
      <c r="I74" s="3">
        <v>4.4249999999999998E-2</v>
      </c>
      <c r="J74" s="3">
        <v>2.2120000000000001E-2</v>
      </c>
      <c r="K74">
        <v>25.89</v>
      </c>
      <c r="L74">
        <v>4.5199999999999996</v>
      </c>
      <c r="M74">
        <v>70.86</v>
      </c>
      <c r="N74">
        <v>0.12831999999999999</v>
      </c>
      <c r="O74" s="5">
        <v>8.6525224245000008</v>
      </c>
      <c r="P74" s="6">
        <v>43</v>
      </c>
      <c r="Q74" s="1" t="s">
        <v>100</v>
      </c>
      <c r="R74" s="1" t="s">
        <v>168</v>
      </c>
      <c r="S74" s="7" cm="1">
        <f t="array" ref="S74">_xlfn.SWITCH(tblSMB[[#This Row],[segment]],
"At Risk",1,
"Ops Constrained",2,
"Ad Inefficient",3,
"High Potential",4,
"Core",5,99)</f>
        <v>3</v>
      </c>
      <c r="T74" s="7" t="str" cm="1">
        <f t="array" ref="T74">_xlfn.SWITCH(tblSMB[[#This Row],[segment]],
"At Risk","48 hours",
"Ops Constrained","72 hours",
"Ad Inefficient","1 week",
"High Potential","1 week",
"Core","2 weeks","")</f>
        <v>1 week</v>
      </c>
      <c r="U74" s="9" t="str">
        <f>IF(AND(tblSMB[[#This Row],[segment]]&lt;&gt;"Ad Inefficient",tblSMB[[#This Row],[roas]]&lt;10),"Check: Low ROAS not flagged","")</f>
        <v/>
      </c>
      <c r="V74" s="10" t="s">
        <v>169</v>
      </c>
      <c r="W74" s="10" t="s">
        <v>170</v>
      </c>
      <c r="X74" s="10" t="s">
        <v>171</v>
      </c>
      <c r="Y74" s="2"/>
      <c r="AA74" s="1"/>
    </row>
    <row r="75" spans="1:27" ht="34" x14ac:dyDescent="0.2">
      <c r="A75" s="1" t="s">
        <v>126</v>
      </c>
      <c r="B75" s="11">
        <v>46027</v>
      </c>
      <c r="C75" s="1" t="s">
        <v>57</v>
      </c>
      <c r="D75" s="1" t="s">
        <v>38</v>
      </c>
      <c r="E75">
        <v>198</v>
      </c>
      <c r="F75">
        <v>4739.01</v>
      </c>
      <c r="G75">
        <v>850</v>
      </c>
      <c r="H75" s="4">
        <v>-0.16747999999999999</v>
      </c>
      <c r="I75" s="3">
        <v>4.0399999999999998E-2</v>
      </c>
      <c r="J75" s="3">
        <v>2.0199999999999999E-2</v>
      </c>
      <c r="K75">
        <v>32.380000000000003</v>
      </c>
      <c r="L75">
        <v>4.49</v>
      </c>
      <c r="M75">
        <v>23.76</v>
      </c>
      <c r="N75">
        <v>0.13636000000000001</v>
      </c>
      <c r="O75" s="5">
        <v>27.198174999999999</v>
      </c>
      <c r="P75" s="6">
        <v>43</v>
      </c>
      <c r="Q75" s="1" t="s">
        <v>41</v>
      </c>
      <c r="R75" s="1" t="s">
        <v>25</v>
      </c>
      <c r="S75" s="7" cm="1">
        <f t="array" ref="S75">_xlfn.SWITCH(tblSMB[[#This Row],[segment]],
"At Risk",1,
"Ops Constrained",2,
"Ad Inefficient",3,
"High Potential",4,
"Core",5,99)</f>
        <v>5</v>
      </c>
      <c r="T75" s="7" t="str" cm="1">
        <f t="array" ref="T75">_xlfn.SWITCH(tblSMB[[#This Row],[segment]],
"At Risk","48 hours",
"Ops Constrained","72 hours",
"Ad Inefficient","1 week",
"High Potential","1 week",
"Core","2 weeks","")</f>
        <v>2 weeks</v>
      </c>
      <c r="U75" s="9" t="str">
        <f>IF(AND(tblSMB[[#This Row],[segment]]&lt;&gt;"Ad Inefficient",tblSMB[[#This Row],[roas]]&lt;10),"Check: Low ROAS not flagged","")</f>
        <v/>
      </c>
      <c r="V75" s="10" t="s">
        <v>26</v>
      </c>
      <c r="W75" s="10" t="s">
        <v>27</v>
      </c>
      <c r="X75" s="10" t="s">
        <v>28</v>
      </c>
      <c r="Y75" s="2"/>
      <c r="AA75" s="1"/>
    </row>
    <row r="76" spans="1:27" ht="34" x14ac:dyDescent="0.2">
      <c r="A76" s="1" t="s">
        <v>129</v>
      </c>
      <c r="B76" s="11">
        <v>46027</v>
      </c>
      <c r="C76" s="1" t="s">
        <v>50</v>
      </c>
      <c r="D76" s="1" t="s">
        <v>58</v>
      </c>
      <c r="E76">
        <v>156</v>
      </c>
      <c r="F76">
        <v>2924.25</v>
      </c>
      <c r="G76">
        <v>629</v>
      </c>
      <c r="H76" s="4">
        <v>-0.13836000000000001</v>
      </c>
      <c r="I76" s="3">
        <v>3.8460000000000001E-2</v>
      </c>
      <c r="J76" s="3">
        <v>2.564E-2</v>
      </c>
      <c r="K76">
        <v>29.96</v>
      </c>
      <c r="L76">
        <v>4.7</v>
      </c>
      <c r="M76">
        <v>24.49</v>
      </c>
      <c r="N76">
        <v>0.10897</v>
      </c>
      <c r="O76" s="5">
        <v>13.012179011840001</v>
      </c>
      <c r="P76" s="6">
        <v>43</v>
      </c>
      <c r="Q76" s="1" t="s">
        <v>41</v>
      </c>
      <c r="R76" s="1" t="s">
        <v>25</v>
      </c>
      <c r="S76" s="7" cm="1">
        <f t="array" ref="S76">_xlfn.SWITCH(tblSMB[[#This Row],[segment]],
"At Risk",1,
"Ops Constrained",2,
"Ad Inefficient",3,
"High Potential",4,
"Core",5,99)</f>
        <v>5</v>
      </c>
      <c r="T76" s="7" t="str" cm="1">
        <f t="array" ref="T76">_xlfn.SWITCH(tblSMB[[#This Row],[segment]],
"At Risk","48 hours",
"Ops Constrained","72 hours",
"Ad Inefficient","1 week",
"High Potential","1 week",
"Core","2 weeks","")</f>
        <v>2 weeks</v>
      </c>
      <c r="U76" s="9" t="str">
        <f>IF(AND(tblSMB[[#This Row],[segment]]&lt;&gt;"Ad Inefficient",tblSMB[[#This Row],[roas]]&lt;10),"Check: Low ROAS not flagged","")</f>
        <v/>
      </c>
      <c r="V76" s="10" t="s">
        <v>26</v>
      </c>
      <c r="W76" s="10" t="s">
        <v>27</v>
      </c>
      <c r="X76" s="10" t="s">
        <v>28</v>
      </c>
      <c r="Y76" s="2"/>
      <c r="AA76" s="1"/>
    </row>
    <row r="77" spans="1:27" ht="34" x14ac:dyDescent="0.2">
      <c r="A77" s="1" t="s">
        <v>172</v>
      </c>
      <c r="B77" s="11">
        <v>46027</v>
      </c>
      <c r="C77" s="1" t="s">
        <v>50</v>
      </c>
      <c r="D77" s="1" t="s">
        <v>43</v>
      </c>
      <c r="E77">
        <v>107</v>
      </c>
      <c r="F77">
        <v>3704.43</v>
      </c>
      <c r="G77">
        <v>434</v>
      </c>
      <c r="H77" s="4">
        <v>-0.125</v>
      </c>
      <c r="I77" s="3">
        <v>5.6070000000000002E-2</v>
      </c>
      <c r="J77" s="3">
        <v>1.8689999999999998E-2</v>
      </c>
      <c r="K77">
        <v>31.04</v>
      </c>
      <c r="L77">
        <v>4.8099999999999996</v>
      </c>
      <c r="M77">
        <v>33.56</v>
      </c>
      <c r="N77">
        <v>0.21495</v>
      </c>
      <c r="O77" s="5">
        <v>23.727036442189998</v>
      </c>
      <c r="P77" s="6">
        <v>44</v>
      </c>
      <c r="Q77" s="1" t="s">
        <v>41</v>
      </c>
      <c r="R77" s="1" t="s">
        <v>59</v>
      </c>
      <c r="S77" s="7" cm="1">
        <f t="array" ref="S77">_xlfn.SWITCH(tblSMB[[#This Row],[segment]],
"At Risk",1,
"Ops Constrained",2,
"Ad Inefficient",3,
"High Potential",4,
"Core",5,99)</f>
        <v>1</v>
      </c>
      <c r="T77" s="7" t="str" cm="1">
        <f t="array" ref="T77">_xlfn.SWITCH(tblSMB[[#This Row],[segment]],
"At Risk","48 hours",
"Ops Constrained","72 hours",
"Ad Inefficient","1 week",
"High Potential","1 week",
"Core","2 weeks","")</f>
        <v>48 hours</v>
      </c>
      <c r="U77" s="9" t="str">
        <f>IF(AND(tblSMB[[#This Row],[segment]]&lt;&gt;"Ad Inefficient",tblSMB[[#This Row],[roas]]&lt;10),"Check: Low ROAS not flagged","")</f>
        <v/>
      </c>
      <c r="V77" s="10" t="s">
        <v>60</v>
      </c>
      <c r="W77" s="10" t="s">
        <v>61</v>
      </c>
      <c r="X77" s="10" t="s">
        <v>62</v>
      </c>
      <c r="Y77" s="2"/>
      <c r="AA77" s="1"/>
    </row>
    <row r="78" spans="1:27" ht="34" x14ac:dyDescent="0.2">
      <c r="A78" s="1" t="s">
        <v>243</v>
      </c>
      <c r="B78" s="11">
        <v>46027</v>
      </c>
      <c r="C78" s="1" t="s">
        <v>68</v>
      </c>
      <c r="D78" s="1" t="s">
        <v>54</v>
      </c>
      <c r="E78">
        <v>243</v>
      </c>
      <c r="F78">
        <v>11299.14</v>
      </c>
      <c r="G78">
        <v>984</v>
      </c>
      <c r="H78" s="4">
        <v>-0.10627</v>
      </c>
      <c r="I78" s="3">
        <v>6.5839999999999996E-2</v>
      </c>
      <c r="J78" s="3">
        <v>1.6459999999999999E-2</v>
      </c>
      <c r="K78">
        <v>40.98</v>
      </c>
      <c r="L78">
        <v>4.8</v>
      </c>
      <c r="M78">
        <v>71.849999999999994</v>
      </c>
      <c r="N78">
        <v>0.23457</v>
      </c>
      <c r="O78" s="5">
        <v>36.888177912320003</v>
      </c>
      <c r="P78" s="6">
        <v>44</v>
      </c>
      <c r="Q78" s="1" t="s">
        <v>44</v>
      </c>
      <c r="R78" s="1" t="s">
        <v>59</v>
      </c>
      <c r="S78" s="7" cm="1">
        <f t="array" ref="S78">_xlfn.SWITCH(tblSMB[[#This Row],[segment]],
"At Risk",1,
"Ops Constrained",2,
"Ad Inefficient",3,
"High Potential",4,
"Core",5,99)</f>
        <v>1</v>
      </c>
      <c r="T78" s="7" t="str" cm="1">
        <f t="array" ref="T78">_xlfn.SWITCH(tblSMB[[#This Row],[segment]],
"At Risk","48 hours",
"Ops Constrained","72 hours",
"Ad Inefficient","1 week",
"High Potential","1 week",
"Core","2 weeks","")</f>
        <v>48 hours</v>
      </c>
      <c r="U78" s="9" t="str">
        <f>IF(AND(tblSMB[[#This Row],[segment]]&lt;&gt;"Ad Inefficient",tblSMB[[#This Row],[roas]]&lt;10),"Check: Low ROAS not flagged","")</f>
        <v/>
      </c>
      <c r="V78" s="10" t="s">
        <v>60</v>
      </c>
      <c r="W78" s="10" t="s">
        <v>61</v>
      </c>
      <c r="X78" s="10" t="s">
        <v>62</v>
      </c>
      <c r="Y78" s="2"/>
      <c r="AA78" s="1"/>
    </row>
    <row r="79" spans="1:27" ht="34" x14ac:dyDescent="0.2">
      <c r="A79" s="1" t="s">
        <v>144</v>
      </c>
      <c r="B79" s="11">
        <v>46027</v>
      </c>
      <c r="C79" s="1" t="s">
        <v>37</v>
      </c>
      <c r="D79" s="1" t="s">
        <v>58</v>
      </c>
      <c r="E79">
        <v>108</v>
      </c>
      <c r="F79">
        <v>1942.83</v>
      </c>
      <c r="G79">
        <v>360</v>
      </c>
      <c r="H79" s="4">
        <v>3.4479999999999997E-2</v>
      </c>
      <c r="I79" s="3">
        <v>5.5559999999999998E-2</v>
      </c>
      <c r="J79" s="3">
        <v>2.7779999999999999E-2</v>
      </c>
      <c r="K79">
        <v>34.56</v>
      </c>
      <c r="L79">
        <v>4.3099999999999996</v>
      </c>
      <c r="M79">
        <v>27.51</v>
      </c>
      <c r="N79">
        <v>0.11111</v>
      </c>
      <c r="O79" s="5">
        <v>7.8469648855000003</v>
      </c>
      <c r="P79" s="6">
        <v>44</v>
      </c>
      <c r="Q79" s="1" t="s">
        <v>55</v>
      </c>
      <c r="R79" s="1" t="s">
        <v>45</v>
      </c>
      <c r="S79" s="7" cm="1">
        <f t="array" ref="S79">_xlfn.SWITCH(tblSMB[[#This Row],[segment]],
"At Risk",1,
"Ops Constrained",2,
"Ad Inefficient",3,
"High Potential",4,
"Core",5,99)</f>
        <v>2</v>
      </c>
      <c r="T79" s="7" t="str" cm="1">
        <f t="array" ref="T79">_xlfn.SWITCH(tblSMB[[#This Row],[segment]],
"At Risk","48 hours",
"Ops Constrained","72 hours",
"Ad Inefficient","1 week",
"High Potential","1 week",
"Core","2 weeks","")</f>
        <v>72 hours</v>
      </c>
      <c r="U79" s="9" t="str">
        <f>IF(AND(tblSMB[[#This Row],[segment]]&lt;&gt;"Ad Inefficient",tblSMB[[#This Row],[roas]]&lt;10),"Check: Low ROAS not flagged","")</f>
        <v>Check: Low ROAS not flagged</v>
      </c>
      <c r="V79" s="10" t="s">
        <v>46</v>
      </c>
      <c r="W79" s="10" t="s">
        <v>47</v>
      </c>
      <c r="X79" s="10" t="s">
        <v>48</v>
      </c>
      <c r="Y79" s="2"/>
      <c r="AA79" s="1"/>
    </row>
    <row r="80" spans="1:27" ht="34" x14ac:dyDescent="0.2">
      <c r="A80" s="1" t="s">
        <v>178</v>
      </c>
      <c r="B80" s="11">
        <v>46027</v>
      </c>
      <c r="C80" s="1" t="s">
        <v>79</v>
      </c>
      <c r="D80" s="1" t="s">
        <v>54</v>
      </c>
      <c r="E80">
        <v>111</v>
      </c>
      <c r="F80">
        <v>4364.13</v>
      </c>
      <c r="G80">
        <v>417</v>
      </c>
      <c r="H80" s="4">
        <v>7.7520000000000006E-2</v>
      </c>
      <c r="I80" s="3">
        <v>6.3060000000000005E-2</v>
      </c>
      <c r="J80" s="3">
        <v>2.7029999999999998E-2</v>
      </c>
      <c r="K80">
        <v>44.48</v>
      </c>
      <c r="L80">
        <v>4.25</v>
      </c>
      <c r="M80">
        <v>34.99</v>
      </c>
      <c r="N80">
        <v>0.13514000000000001</v>
      </c>
      <c r="O80" s="5">
        <v>16.854738210920001</v>
      </c>
      <c r="P80" s="6">
        <v>44</v>
      </c>
      <c r="Q80" s="1" t="s">
        <v>44</v>
      </c>
      <c r="R80" s="1" t="s">
        <v>45</v>
      </c>
      <c r="S80" s="7" cm="1">
        <f t="array" ref="S80">_xlfn.SWITCH(tblSMB[[#This Row],[segment]],
"At Risk",1,
"Ops Constrained",2,
"Ad Inefficient",3,
"High Potential",4,
"Core",5,99)</f>
        <v>2</v>
      </c>
      <c r="T80" s="7" t="str" cm="1">
        <f t="array" ref="T80">_xlfn.SWITCH(tblSMB[[#This Row],[segment]],
"At Risk","48 hours",
"Ops Constrained","72 hours",
"Ad Inefficient","1 week",
"High Potential","1 week",
"Core","2 weeks","")</f>
        <v>72 hours</v>
      </c>
      <c r="U80" s="9" t="str">
        <f>IF(AND(tblSMB[[#This Row],[segment]]&lt;&gt;"Ad Inefficient",tblSMB[[#This Row],[roas]]&lt;10),"Check: Low ROAS not flagged","")</f>
        <v/>
      </c>
      <c r="V80" s="10" t="s">
        <v>46</v>
      </c>
      <c r="W80" s="10" t="s">
        <v>47</v>
      </c>
      <c r="X80" s="10" t="s">
        <v>48</v>
      </c>
      <c r="Y80" s="2"/>
      <c r="AA80" s="1"/>
    </row>
    <row r="81" spans="1:27" ht="34" x14ac:dyDescent="0.2">
      <c r="A81" s="1" t="s">
        <v>186</v>
      </c>
      <c r="B81" s="11">
        <v>46027</v>
      </c>
      <c r="C81" s="1" t="s">
        <v>57</v>
      </c>
      <c r="D81" s="1" t="s">
        <v>58</v>
      </c>
      <c r="E81">
        <v>148</v>
      </c>
      <c r="F81">
        <v>2374.69</v>
      </c>
      <c r="G81">
        <v>565</v>
      </c>
      <c r="H81" s="4">
        <v>-0.18704999999999999</v>
      </c>
      <c r="I81" s="3">
        <v>4.7300000000000002E-2</v>
      </c>
      <c r="J81" s="3">
        <v>2.027E-2</v>
      </c>
      <c r="K81">
        <v>21.74</v>
      </c>
      <c r="L81">
        <v>4.57</v>
      </c>
      <c r="M81">
        <v>37.06</v>
      </c>
      <c r="N81">
        <v>0.20269999999999999</v>
      </c>
      <c r="O81" s="5">
        <v>12.988561521859999</v>
      </c>
      <c r="P81" s="6">
        <v>44</v>
      </c>
      <c r="Q81" s="1" t="s">
        <v>41</v>
      </c>
      <c r="R81" s="1" t="s">
        <v>168</v>
      </c>
      <c r="S81" s="7" cm="1">
        <f t="array" ref="S81">_xlfn.SWITCH(tblSMB[[#This Row],[segment]],
"At Risk",1,
"Ops Constrained",2,
"Ad Inefficient",3,
"High Potential",4,
"Core",5,99)</f>
        <v>3</v>
      </c>
      <c r="T81" s="7" t="str" cm="1">
        <f t="array" ref="T81">_xlfn.SWITCH(tblSMB[[#This Row],[segment]],
"At Risk","48 hours",
"Ops Constrained","72 hours",
"Ad Inefficient","1 week",
"High Potential","1 week",
"Core","2 weeks","")</f>
        <v>1 week</v>
      </c>
      <c r="U81" s="9" t="str">
        <f>IF(AND(tblSMB[[#This Row],[segment]]&lt;&gt;"Ad Inefficient",tblSMB[[#This Row],[roas]]&lt;10),"Check: Low ROAS not flagged","")</f>
        <v/>
      </c>
      <c r="V81" s="10" t="s">
        <v>169</v>
      </c>
      <c r="W81" s="10" t="s">
        <v>170</v>
      </c>
      <c r="X81" s="10" t="s">
        <v>171</v>
      </c>
      <c r="Y81" s="2"/>
      <c r="AA81" s="1"/>
    </row>
    <row r="82" spans="1:27" ht="34" x14ac:dyDescent="0.2">
      <c r="A82" s="1" t="s">
        <v>187</v>
      </c>
      <c r="B82" s="11">
        <v>46027</v>
      </c>
      <c r="C82" s="1" t="s">
        <v>79</v>
      </c>
      <c r="D82" s="1" t="s">
        <v>31</v>
      </c>
      <c r="E82">
        <v>225</v>
      </c>
      <c r="F82">
        <v>3444.86</v>
      </c>
      <c r="G82">
        <v>1020</v>
      </c>
      <c r="H82" s="4">
        <v>3.3430000000000001E-2</v>
      </c>
      <c r="I82" s="3">
        <v>5.3330000000000002E-2</v>
      </c>
      <c r="J82" s="3">
        <v>3.1109999999999999E-2</v>
      </c>
      <c r="K82">
        <v>32.979999999999997</v>
      </c>
      <c r="L82">
        <v>4.34</v>
      </c>
      <c r="M82">
        <v>37.35</v>
      </c>
      <c r="N82">
        <v>0.08</v>
      </c>
      <c r="O82" s="5">
        <v>7.3785489156599997</v>
      </c>
      <c r="P82" s="6">
        <v>44</v>
      </c>
      <c r="Q82" s="1" t="s">
        <v>65</v>
      </c>
      <c r="R82" s="1" t="s">
        <v>168</v>
      </c>
      <c r="S82" s="7" cm="1">
        <f t="array" ref="S82">_xlfn.SWITCH(tblSMB[[#This Row],[segment]],
"At Risk",1,
"Ops Constrained",2,
"Ad Inefficient",3,
"High Potential",4,
"Core",5,99)</f>
        <v>3</v>
      </c>
      <c r="T82" s="7" t="str" cm="1">
        <f t="array" ref="T82">_xlfn.SWITCH(tblSMB[[#This Row],[segment]],
"At Risk","48 hours",
"Ops Constrained","72 hours",
"Ad Inefficient","1 week",
"High Potential","1 week",
"Core","2 weeks","")</f>
        <v>1 week</v>
      </c>
      <c r="U82" s="9" t="str">
        <f>IF(AND(tblSMB[[#This Row],[segment]]&lt;&gt;"Ad Inefficient",tblSMB[[#This Row],[roas]]&lt;10),"Check: Low ROAS not flagged","")</f>
        <v/>
      </c>
      <c r="V82" s="10" t="s">
        <v>169</v>
      </c>
      <c r="W82" s="10" t="s">
        <v>170</v>
      </c>
      <c r="X82" s="10" t="s">
        <v>171</v>
      </c>
      <c r="Y82" s="2"/>
      <c r="AA82" s="1"/>
    </row>
    <row r="83" spans="1:27" ht="34" x14ac:dyDescent="0.2">
      <c r="A83" s="1" t="s">
        <v>201</v>
      </c>
      <c r="B83" s="11">
        <v>46027</v>
      </c>
      <c r="C83" s="1" t="s">
        <v>22</v>
      </c>
      <c r="D83" s="1" t="s">
        <v>38</v>
      </c>
      <c r="E83">
        <v>105</v>
      </c>
      <c r="F83">
        <v>2994.68</v>
      </c>
      <c r="G83">
        <v>337</v>
      </c>
      <c r="H83" s="4">
        <v>-0.17402000000000001</v>
      </c>
      <c r="I83" s="3">
        <v>3.8100000000000002E-2</v>
      </c>
      <c r="J83" s="3">
        <v>1.9050000000000001E-2</v>
      </c>
      <c r="K83">
        <v>31.54</v>
      </c>
      <c r="L83">
        <v>4.8099999999999996</v>
      </c>
      <c r="M83">
        <v>43.85</v>
      </c>
      <c r="N83">
        <v>0.18095</v>
      </c>
      <c r="O83" s="5">
        <v>12.357912839220001</v>
      </c>
      <c r="P83" s="6">
        <v>44</v>
      </c>
      <c r="Q83" s="1" t="s">
        <v>100</v>
      </c>
      <c r="R83" s="1" t="s">
        <v>168</v>
      </c>
      <c r="S83" s="7" cm="1">
        <f t="array" ref="S83">_xlfn.SWITCH(tblSMB[[#This Row],[segment]],
"At Risk",1,
"Ops Constrained",2,
"Ad Inefficient",3,
"High Potential",4,
"Core",5,99)</f>
        <v>3</v>
      </c>
      <c r="T83" s="7" t="str" cm="1">
        <f t="array" ref="T83">_xlfn.SWITCH(tblSMB[[#This Row],[segment]],
"At Risk","48 hours",
"Ops Constrained","72 hours",
"Ad Inefficient","1 week",
"High Potential","1 week",
"Core","2 weeks","")</f>
        <v>1 week</v>
      </c>
      <c r="U83" s="9" t="str">
        <f>IF(AND(tblSMB[[#This Row],[segment]]&lt;&gt;"Ad Inefficient",tblSMB[[#This Row],[roas]]&lt;10),"Check: Low ROAS not flagged","")</f>
        <v/>
      </c>
      <c r="V83" s="10" t="s">
        <v>169</v>
      </c>
      <c r="W83" s="10" t="s">
        <v>170</v>
      </c>
      <c r="X83" s="10" t="s">
        <v>171</v>
      </c>
      <c r="Y83" s="2"/>
      <c r="AA83" s="1"/>
    </row>
    <row r="84" spans="1:27" ht="34" x14ac:dyDescent="0.2">
      <c r="A84" s="1" t="s">
        <v>164</v>
      </c>
      <c r="B84" s="11">
        <v>46027</v>
      </c>
      <c r="C84" s="1" t="s">
        <v>40</v>
      </c>
      <c r="D84" s="1" t="s">
        <v>23</v>
      </c>
      <c r="E84">
        <v>192</v>
      </c>
      <c r="F84">
        <v>4776.5</v>
      </c>
      <c r="G84">
        <v>808</v>
      </c>
      <c r="H84" s="4">
        <v>-0.13305</v>
      </c>
      <c r="I84" s="3">
        <v>4.6879999999999998E-2</v>
      </c>
      <c r="J84" s="3">
        <v>2.6040000000000001E-2</v>
      </c>
      <c r="K84">
        <v>25.98</v>
      </c>
      <c r="L84">
        <v>4.6900000000000004</v>
      </c>
      <c r="M84">
        <v>32.65</v>
      </c>
      <c r="N84">
        <v>9.375E-2</v>
      </c>
      <c r="O84" s="5">
        <v>13.71506499234</v>
      </c>
      <c r="P84" s="6">
        <v>44</v>
      </c>
      <c r="Q84" s="1" t="s">
        <v>41</v>
      </c>
      <c r="R84" s="1" t="s">
        <v>25</v>
      </c>
      <c r="S84" s="7" cm="1">
        <f t="array" ref="S84">_xlfn.SWITCH(tblSMB[[#This Row],[segment]],
"At Risk",1,
"Ops Constrained",2,
"Ad Inefficient",3,
"High Potential",4,
"Core",5,99)</f>
        <v>5</v>
      </c>
      <c r="T84" s="7" t="str" cm="1">
        <f t="array" ref="T84">_xlfn.SWITCH(tblSMB[[#This Row],[segment]],
"At Risk","48 hours",
"Ops Constrained","72 hours",
"Ad Inefficient","1 week",
"High Potential","1 week",
"Core","2 weeks","")</f>
        <v>2 weeks</v>
      </c>
      <c r="U84" s="9" t="str">
        <f>IF(AND(tblSMB[[#This Row],[segment]]&lt;&gt;"Ad Inefficient",tblSMB[[#This Row],[roas]]&lt;10),"Check: Low ROAS not flagged","")</f>
        <v/>
      </c>
      <c r="V84" s="10" t="s">
        <v>26</v>
      </c>
      <c r="W84" s="10" t="s">
        <v>27</v>
      </c>
      <c r="X84" s="10" t="s">
        <v>28</v>
      </c>
      <c r="Y84" s="2"/>
      <c r="AA84" s="1"/>
    </row>
    <row r="85" spans="1:27" ht="34" x14ac:dyDescent="0.2">
      <c r="A85" s="1" t="s">
        <v>166</v>
      </c>
      <c r="B85" s="11">
        <v>46027</v>
      </c>
      <c r="C85" s="1" t="s">
        <v>68</v>
      </c>
      <c r="D85" s="1" t="s">
        <v>31</v>
      </c>
      <c r="E85">
        <v>214</v>
      </c>
      <c r="F85">
        <v>3020.29</v>
      </c>
      <c r="G85">
        <v>833</v>
      </c>
      <c r="H85" s="4">
        <v>-0.11665</v>
      </c>
      <c r="I85" s="3">
        <v>5.1400000000000001E-2</v>
      </c>
      <c r="J85" s="3">
        <v>2.8039999999999999E-2</v>
      </c>
      <c r="K85">
        <v>21.22</v>
      </c>
      <c r="L85">
        <v>4.54</v>
      </c>
      <c r="M85">
        <v>33.04</v>
      </c>
      <c r="N85">
        <v>0.15887999999999999</v>
      </c>
      <c r="O85" s="5">
        <v>14.52358262712</v>
      </c>
      <c r="P85" s="6">
        <v>44</v>
      </c>
      <c r="Q85" s="1" t="s">
        <v>24</v>
      </c>
      <c r="R85" s="1" t="s">
        <v>25</v>
      </c>
      <c r="S85" s="7" cm="1">
        <f t="array" ref="S85">_xlfn.SWITCH(tblSMB[[#This Row],[segment]],
"At Risk",1,
"Ops Constrained",2,
"Ad Inefficient",3,
"High Potential",4,
"Core",5,99)</f>
        <v>5</v>
      </c>
      <c r="T85" s="7" t="str" cm="1">
        <f t="array" ref="T85">_xlfn.SWITCH(tblSMB[[#This Row],[segment]],
"At Risk","48 hours",
"Ops Constrained","72 hours",
"Ad Inefficient","1 week",
"High Potential","1 week",
"Core","2 weeks","")</f>
        <v>2 weeks</v>
      </c>
      <c r="U85" s="9" t="str">
        <f>IF(AND(tblSMB[[#This Row],[segment]]&lt;&gt;"Ad Inefficient",tblSMB[[#This Row],[roas]]&lt;10),"Check: Low ROAS not flagged","")</f>
        <v/>
      </c>
      <c r="V85" s="10" t="s">
        <v>26</v>
      </c>
      <c r="W85" s="10" t="s">
        <v>27</v>
      </c>
      <c r="X85" s="10" t="s">
        <v>28</v>
      </c>
      <c r="Y85" s="2"/>
      <c r="AA85" s="1"/>
    </row>
    <row r="86" spans="1:27" ht="34" x14ac:dyDescent="0.2">
      <c r="A86" s="1" t="s">
        <v>42</v>
      </c>
      <c r="B86" s="11">
        <v>46027</v>
      </c>
      <c r="C86" s="1" t="s">
        <v>22</v>
      </c>
      <c r="D86" s="1" t="s">
        <v>43</v>
      </c>
      <c r="E86">
        <v>93</v>
      </c>
      <c r="F86">
        <v>3341.16</v>
      </c>
      <c r="G86">
        <v>453</v>
      </c>
      <c r="H86" s="4">
        <v>1.116E-2</v>
      </c>
      <c r="I86" s="3">
        <v>7.5270000000000004E-2</v>
      </c>
      <c r="J86" s="3">
        <v>3.2259999999999997E-2</v>
      </c>
      <c r="K86">
        <v>34.15</v>
      </c>
      <c r="L86">
        <v>4.5199999999999996</v>
      </c>
      <c r="M86">
        <v>9.02</v>
      </c>
      <c r="N86">
        <v>0.16128999999999999</v>
      </c>
      <c r="O86" s="5">
        <v>59.744654101999998</v>
      </c>
      <c r="P86" s="6">
        <v>45</v>
      </c>
      <c r="Q86" s="1" t="s">
        <v>44</v>
      </c>
      <c r="R86" s="1" t="s">
        <v>45</v>
      </c>
      <c r="S86" s="7" cm="1">
        <f t="array" ref="S86">_xlfn.SWITCH(tblSMB[[#This Row],[segment]],
"At Risk",1,
"Ops Constrained",2,
"Ad Inefficient",3,
"High Potential",4,
"Core",5,99)</f>
        <v>2</v>
      </c>
      <c r="T86" s="7" t="str" cm="1">
        <f t="array" ref="T86">_xlfn.SWITCH(tblSMB[[#This Row],[segment]],
"At Risk","48 hours",
"Ops Constrained","72 hours",
"Ad Inefficient","1 week",
"High Potential","1 week",
"Core","2 weeks","")</f>
        <v>72 hours</v>
      </c>
      <c r="U86" s="9" t="str">
        <f>IF(AND(tblSMB[[#This Row],[segment]]&lt;&gt;"Ad Inefficient",tblSMB[[#This Row],[roas]]&lt;10),"Check: Low ROAS not flagged","")</f>
        <v/>
      </c>
      <c r="V86" s="10" t="s">
        <v>46</v>
      </c>
      <c r="W86" s="10" t="s">
        <v>47</v>
      </c>
      <c r="X86" s="10" t="s">
        <v>48</v>
      </c>
      <c r="Y86" s="2"/>
      <c r="AA86" s="1"/>
    </row>
    <row r="87" spans="1:27" ht="34" x14ac:dyDescent="0.2">
      <c r="A87" s="1" t="s">
        <v>250</v>
      </c>
      <c r="B87" s="11">
        <v>46027</v>
      </c>
      <c r="C87" s="1" t="s">
        <v>68</v>
      </c>
      <c r="D87" s="1" t="s">
        <v>54</v>
      </c>
      <c r="E87">
        <v>323</v>
      </c>
      <c r="F87">
        <v>16423.099999999999</v>
      </c>
      <c r="G87">
        <v>1103</v>
      </c>
      <c r="H87" s="4">
        <v>-5.8069999999999997E-2</v>
      </c>
      <c r="I87" s="3">
        <v>5.8819999999999997E-2</v>
      </c>
      <c r="J87" s="3">
        <v>2.477E-2</v>
      </c>
      <c r="K87">
        <v>43.82</v>
      </c>
      <c r="L87">
        <v>4.8499999999999996</v>
      </c>
      <c r="M87">
        <v>97.54</v>
      </c>
      <c r="N87">
        <v>0.13932</v>
      </c>
      <c r="O87" s="5">
        <v>23.457535318840002</v>
      </c>
      <c r="P87" s="6">
        <v>45</v>
      </c>
      <c r="Q87" s="1" t="s">
        <v>44</v>
      </c>
      <c r="R87" s="1" t="s">
        <v>45</v>
      </c>
      <c r="S87" s="7" cm="1">
        <f t="array" ref="S87">_xlfn.SWITCH(tblSMB[[#This Row],[segment]],
"At Risk",1,
"Ops Constrained",2,
"Ad Inefficient",3,
"High Potential",4,
"Core",5,99)</f>
        <v>2</v>
      </c>
      <c r="T87" s="7" t="str" cm="1">
        <f t="array" ref="T87">_xlfn.SWITCH(tblSMB[[#This Row],[segment]],
"At Risk","48 hours",
"Ops Constrained","72 hours",
"Ad Inefficient","1 week",
"High Potential","1 week",
"Core","2 weeks","")</f>
        <v>72 hours</v>
      </c>
      <c r="U87" s="9" t="str">
        <f>IF(AND(tblSMB[[#This Row],[segment]]&lt;&gt;"Ad Inefficient",tblSMB[[#This Row],[roas]]&lt;10),"Check: Low ROAS not flagged","")</f>
        <v/>
      </c>
      <c r="V87" s="10" t="s">
        <v>46</v>
      </c>
      <c r="W87" s="10" t="s">
        <v>47</v>
      </c>
      <c r="X87" s="10" t="s">
        <v>48</v>
      </c>
      <c r="Y87" s="2"/>
      <c r="AA87" s="1"/>
    </row>
    <row r="88" spans="1:27" ht="34" x14ac:dyDescent="0.2">
      <c r="A88" s="1" t="s">
        <v>182</v>
      </c>
      <c r="B88" s="11">
        <v>46027</v>
      </c>
      <c r="C88" s="1" t="s">
        <v>57</v>
      </c>
      <c r="D88" s="1" t="s">
        <v>58</v>
      </c>
      <c r="E88">
        <v>151</v>
      </c>
      <c r="F88">
        <v>2908.8</v>
      </c>
      <c r="G88">
        <v>612</v>
      </c>
      <c r="H88" s="4">
        <v>-3.3180000000000001E-2</v>
      </c>
      <c r="I88" s="3">
        <v>5.2979999999999999E-2</v>
      </c>
      <c r="J88" s="3">
        <v>3.3110000000000001E-2</v>
      </c>
      <c r="K88">
        <v>25.71</v>
      </c>
      <c r="L88">
        <v>4.46</v>
      </c>
      <c r="M88">
        <v>35.83</v>
      </c>
      <c r="N88">
        <v>9.9339999999999998E-2</v>
      </c>
      <c r="O88" s="5">
        <v>8.0645727044399997</v>
      </c>
      <c r="P88" s="6">
        <v>45</v>
      </c>
      <c r="Q88" s="1" t="s">
        <v>65</v>
      </c>
      <c r="R88" s="1" t="s">
        <v>168</v>
      </c>
      <c r="S88" s="7" cm="1">
        <f t="array" ref="S88">_xlfn.SWITCH(tblSMB[[#This Row],[segment]],
"At Risk",1,
"Ops Constrained",2,
"Ad Inefficient",3,
"High Potential",4,
"Core",5,99)</f>
        <v>3</v>
      </c>
      <c r="T88" s="7" t="str" cm="1">
        <f t="array" ref="T88">_xlfn.SWITCH(tblSMB[[#This Row],[segment]],
"At Risk","48 hours",
"Ops Constrained","72 hours",
"Ad Inefficient","1 week",
"High Potential","1 week",
"Core","2 weeks","")</f>
        <v>1 week</v>
      </c>
      <c r="U88" s="9" t="str">
        <f>IF(AND(tblSMB[[#This Row],[segment]]&lt;&gt;"Ad Inefficient",tblSMB[[#This Row],[roas]]&lt;10),"Check: Low ROAS not flagged","")</f>
        <v/>
      </c>
      <c r="V88" s="10" t="s">
        <v>169</v>
      </c>
      <c r="W88" s="10" t="s">
        <v>170</v>
      </c>
      <c r="X88" s="10" t="s">
        <v>171</v>
      </c>
      <c r="Y88" s="2"/>
      <c r="AA88" s="1"/>
    </row>
    <row r="89" spans="1:27" ht="34" x14ac:dyDescent="0.2">
      <c r="A89" s="1" t="s">
        <v>260</v>
      </c>
      <c r="B89" s="11">
        <v>46027</v>
      </c>
      <c r="C89" s="1" t="s">
        <v>79</v>
      </c>
      <c r="D89" s="1" t="s">
        <v>23</v>
      </c>
      <c r="E89">
        <v>312</v>
      </c>
      <c r="F89">
        <v>7788.58</v>
      </c>
      <c r="G89">
        <v>1083</v>
      </c>
      <c r="H89" s="4">
        <v>-9.8250000000000004E-2</v>
      </c>
      <c r="I89" s="3">
        <v>5.1279999999999999E-2</v>
      </c>
      <c r="J89" s="3">
        <v>3.2050000000000002E-2</v>
      </c>
      <c r="K89">
        <v>25.51</v>
      </c>
      <c r="L89">
        <v>4.84</v>
      </c>
      <c r="M89">
        <v>119.92</v>
      </c>
      <c r="N89">
        <v>0.17949000000000001</v>
      </c>
      <c r="O89" s="5">
        <v>11.657356837889999</v>
      </c>
      <c r="P89" s="6">
        <v>45</v>
      </c>
      <c r="Q89" s="1" t="s">
        <v>65</v>
      </c>
      <c r="R89" s="1" t="s">
        <v>168</v>
      </c>
      <c r="S89" s="7" cm="1">
        <f t="array" ref="S89">_xlfn.SWITCH(tblSMB[[#This Row],[segment]],
"At Risk",1,
"Ops Constrained",2,
"Ad Inefficient",3,
"High Potential",4,
"Core",5,99)</f>
        <v>3</v>
      </c>
      <c r="T89" s="7" t="str" cm="1">
        <f t="array" ref="T89">_xlfn.SWITCH(tblSMB[[#This Row],[segment]],
"At Risk","48 hours",
"Ops Constrained","72 hours",
"Ad Inefficient","1 week",
"High Potential","1 week",
"Core","2 weeks","")</f>
        <v>1 week</v>
      </c>
      <c r="U89" s="9" t="str">
        <f>IF(AND(tblSMB[[#This Row],[segment]]&lt;&gt;"Ad Inefficient",tblSMB[[#This Row],[roas]]&lt;10),"Check: Low ROAS not flagged","")</f>
        <v/>
      </c>
      <c r="V89" s="10" t="s">
        <v>169</v>
      </c>
      <c r="W89" s="10" t="s">
        <v>170</v>
      </c>
      <c r="X89" s="10" t="s">
        <v>171</v>
      </c>
      <c r="Y89" s="2"/>
      <c r="AA89" s="1"/>
    </row>
    <row r="90" spans="1:27" ht="34" x14ac:dyDescent="0.2">
      <c r="A90" s="1" t="s">
        <v>202</v>
      </c>
      <c r="B90" s="11">
        <v>46027</v>
      </c>
      <c r="C90" s="1" t="s">
        <v>273</v>
      </c>
      <c r="D90" s="1" t="s">
        <v>38</v>
      </c>
      <c r="E90">
        <v>162</v>
      </c>
      <c r="F90">
        <v>4850.34</v>
      </c>
      <c r="G90">
        <v>595</v>
      </c>
      <c r="H90" s="4">
        <v>-0.11458</v>
      </c>
      <c r="I90" s="3">
        <v>4.3209999999999998E-2</v>
      </c>
      <c r="J90" s="3">
        <v>2.469E-2</v>
      </c>
      <c r="K90">
        <v>31.87</v>
      </c>
      <c r="L90">
        <v>4.68</v>
      </c>
      <c r="M90">
        <v>44.8</v>
      </c>
      <c r="N90">
        <v>0.1358</v>
      </c>
      <c r="O90" s="5">
        <v>14.70286026786</v>
      </c>
      <c r="P90" s="6">
        <v>46</v>
      </c>
      <c r="Q90" s="1" t="s">
        <v>24</v>
      </c>
      <c r="R90" s="1" t="s">
        <v>25</v>
      </c>
      <c r="S90" s="7" cm="1">
        <f t="array" ref="S90">_xlfn.SWITCH(tblSMB[[#This Row],[segment]],
"At Risk",1,
"Ops Constrained",2,
"Ad Inefficient",3,
"High Potential",4,
"Core",5,99)</f>
        <v>5</v>
      </c>
      <c r="T90" s="7" t="str" cm="1">
        <f t="array" ref="T90">_xlfn.SWITCH(tblSMB[[#This Row],[segment]],
"At Risk","48 hours",
"Ops Constrained","72 hours",
"Ad Inefficient","1 week",
"High Potential","1 week",
"Core","2 weeks","")</f>
        <v>2 weeks</v>
      </c>
      <c r="U90" s="9" t="str">
        <f>IF(AND(tblSMB[[#This Row],[segment]]&lt;&gt;"Ad Inefficient",tblSMB[[#This Row],[roas]]&lt;10),"Check: Low ROAS not flagged","")</f>
        <v/>
      </c>
      <c r="V90" s="10" t="s">
        <v>26</v>
      </c>
      <c r="W90" s="10" t="s">
        <v>27</v>
      </c>
      <c r="X90" s="10" t="s">
        <v>28</v>
      </c>
      <c r="Y90" s="2"/>
      <c r="AA90" s="1"/>
    </row>
    <row r="91" spans="1:27" ht="34" x14ac:dyDescent="0.2">
      <c r="A91" s="1" t="s">
        <v>183</v>
      </c>
      <c r="B91" s="11">
        <v>46027</v>
      </c>
      <c r="C91" s="1" t="s">
        <v>68</v>
      </c>
      <c r="D91" s="1" t="s">
        <v>54</v>
      </c>
      <c r="E91">
        <v>107</v>
      </c>
      <c r="F91">
        <v>4637.33</v>
      </c>
      <c r="G91">
        <v>365</v>
      </c>
      <c r="H91" s="4">
        <v>-0.10539</v>
      </c>
      <c r="I91" s="3">
        <v>5.6070000000000002E-2</v>
      </c>
      <c r="J91" s="3">
        <v>9.3500000000000007E-3</v>
      </c>
      <c r="K91">
        <v>44.75</v>
      </c>
      <c r="L91">
        <v>4.7699999999999996</v>
      </c>
      <c r="M91">
        <v>35.869999999999997</v>
      </c>
      <c r="N91">
        <v>0.19625999999999999</v>
      </c>
      <c r="O91" s="5">
        <v>25.373019040980001</v>
      </c>
      <c r="P91" s="6">
        <v>47</v>
      </c>
      <c r="Q91" s="1" t="s">
        <v>55</v>
      </c>
      <c r="R91" s="1" t="s">
        <v>59</v>
      </c>
      <c r="S91" s="7" cm="1">
        <f t="array" ref="S91">_xlfn.SWITCH(tblSMB[[#This Row],[segment]],
"At Risk",1,
"Ops Constrained",2,
"Ad Inefficient",3,
"High Potential",4,
"Core",5,99)</f>
        <v>1</v>
      </c>
      <c r="T91" s="7" t="str" cm="1">
        <f t="array" ref="T91">_xlfn.SWITCH(tblSMB[[#This Row],[segment]],
"At Risk","48 hours",
"Ops Constrained","72 hours",
"Ad Inefficient","1 week",
"High Potential","1 week",
"Core","2 weeks","")</f>
        <v>48 hours</v>
      </c>
      <c r="U91" s="9" t="str">
        <f>IF(AND(tblSMB[[#This Row],[segment]]&lt;&gt;"Ad Inefficient",tblSMB[[#This Row],[roas]]&lt;10),"Check: Low ROAS not flagged","")</f>
        <v/>
      </c>
      <c r="V91" s="10" t="s">
        <v>60</v>
      </c>
      <c r="W91" s="10" t="s">
        <v>61</v>
      </c>
      <c r="X91" s="10" t="s">
        <v>62</v>
      </c>
      <c r="Y91" s="2"/>
      <c r="AA91" s="1"/>
    </row>
    <row r="92" spans="1:27" ht="34" x14ac:dyDescent="0.2">
      <c r="A92" s="1" t="s">
        <v>226</v>
      </c>
      <c r="B92" s="11">
        <v>46027</v>
      </c>
      <c r="C92" s="1" t="s">
        <v>53</v>
      </c>
      <c r="D92" s="1" t="s">
        <v>23</v>
      </c>
      <c r="E92">
        <v>191</v>
      </c>
      <c r="F92">
        <v>4449.08</v>
      </c>
      <c r="G92">
        <v>707</v>
      </c>
      <c r="H92" s="4">
        <v>-0.15431</v>
      </c>
      <c r="I92" s="3">
        <v>3.6650000000000002E-2</v>
      </c>
      <c r="J92" s="3">
        <v>2.6179999999999998E-2</v>
      </c>
      <c r="K92">
        <v>26.78</v>
      </c>
      <c r="L92">
        <v>4.8499999999999996</v>
      </c>
      <c r="M92">
        <v>56.34</v>
      </c>
      <c r="N92">
        <v>0.15182999999999999</v>
      </c>
      <c r="O92" s="5">
        <v>11.98996764288</v>
      </c>
      <c r="P92" s="6">
        <v>47</v>
      </c>
      <c r="Q92" s="1" t="s">
        <v>100</v>
      </c>
      <c r="R92" s="1" t="s">
        <v>168</v>
      </c>
      <c r="S92" s="7" cm="1">
        <f t="array" ref="S92">_xlfn.SWITCH(tblSMB[[#This Row],[segment]],
"At Risk",1,
"Ops Constrained",2,
"Ad Inefficient",3,
"High Potential",4,
"Core",5,99)</f>
        <v>3</v>
      </c>
      <c r="T92" s="7" t="str" cm="1">
        <f t="array" ref="T92">_xlfn.SWITCH(tblSMB[[#This Row],[segment]],
"At Risk","48 hours",
"Ops Constrained","72 hours",
"Ad Inefficient","1 week",
"High Potential","1 week",
"Core","2 weeks","")</f>
        <v>1 week</v>
      </c>
      <c r="U92" s="9" t="str">
        <f>IF(AND(tblSMB[[#This Row],[segment]]&lt;&gt;"Ad Inefficient",tblSMB[[#This Row],[roas]]&lt;10),"Check: Low ROAS not flagged","")</f>
        <v/>
      </c>
      <c r="V92" s="10" t="s">
        <v>169</v>
      </c>
      <c r="W92" s="10" t="s">
        <v>170</v>
      </c>
      <c r="X92" s="10" t="s">
        <v>171</v>
      </c>
      <c r="Y92" s="2"/>
      <c r="AA92" s="1"/>
    </row>
    <row r="93" spans="1:27" ht="34" x14ac:dyDescent="0.2">
      <c r="A93" s="1" t="s">
        <v>64</v>
      </c>
      <c r="B93" s="11">
        <v>46027</v>
      </c>
      <c r="C93" s="1" t="s">
        <v>40</v>
      </c>
      <c r="D93" s="1" t="s">
        <v>23</v>
      </c>
      <c r="E93">
        <v>114</v>
      </c>
      <c r="F93">
        <v>2148.35</v>
      </c>
      <c r="G93">
        <v>421</v>
      </c>
      <c r="H93" s="4">
        <v>-4.1000000000000002E-2</v>
      </c>
      <c r="I93" s="3">
        <v>4.3860000000000003E-2</v>
      </c>
      <c r="J93" s="3">
        <v>3.5090000000000003E-2</v>
      </c>
      <c r="K93">
        <v>26.83</v>
      </c>
      <c r="L93">
        <v>4.12</v>
      </c>
      <c r="M93">
        <v>10.46</v>
      </c>
      <c r="N93">
        <v>5.2630000000000003E-2</v>
      </c>
      <c r="O93" s="5">
        <v>10.80985181644</v>
      </c>
      <c r="P93" s="6">
        <v>47</v>
      </c>
      <c r="Q93" s="1" t="s">
        <v>65</v>
      </c>
      <c r="R93" s="1" t="s">
        <v>25</v>
      </c>
      <c r="S93" s="7" cm="1">
        <f t="array" ref="S93">_xlfn.SWITCH(tblSMB[[#This Row],[segment]],
"At Risk",1,
"Ops Constrained",2,
"Ad Inefficient",3,
"High Potential",4,
"Core",5,99)</f>
        <v>5</v>
      </c>
      <c r="T93" s="7" t="str" cm="1">
        <f t="array" ref="T93">_xlfn.SWITCH(tblSMB[[#This Row],[segment]],
"At Risk","48 hours",
"Ops Constrained","72 hours",
"Ad Inefficient","1 week",
"High Potential","1 week",
"Core","2 weeks","")</f>
        <v>2 weeks</v>
      </c>
      <c r="U93" s="9" t="str">
        <f>IF(AND(tblSMB[[#This Row],[segment]]&lt;&gt;"Ad Inefficient",tblSMB[[#This Row],[roas]]&lt;10),"Check: Low ROAS not flagged","")</f>
        <v/>
      </c>
      <c r="V93" s="10" t="s">
        <v>26</v>
      </c>
      <c r="W93" s="10" t="s">
        <v>27</v>
      </c>
      <c r="X93" s="10" t="s">
        <v>28</v>
      </c>
      <c r="Y93" s="2"/>
      <c r="AA93" s="1"/>
    </row>
    <row r="94" spans="1:27" ht="34" x14ac:dyDescent="0.2">
      <c r="A94" s="1" t="s">
        <v>235</v>
      </c>
      <c r="B94" s="11">
        <v>46027</v>
      </c>
      <c r="C94" s="1" t="s">
        <v>37</v>
      </c>
      <c r="D94" s="1" t="s">
        <v>43</v>
      </c>
      <c r="E94">
        <v>260</v>
      </c>
      <c r="F94">
        <v>8252.61</v>
      </c>
      <c r="G94">
        <v>926</v>
      </c>
      <c r="H94" s="4">
        <v>-0.11724999999999999</v>
      </c>
      <c r="I94" s="3">
        <v>5.3850000000000002E-2</v>
      </c>
      <c r="J94" s="3">
        <v>1.9230000000000001E-2</v>
      </c>
      <c r="K94">
        <v>28.7</v>
      </c>
      <c r="L94">
        <v>4.7699999999999996</v>
      </c>
      <c r="M94">
        <v>61.08</v>
      </c>
      <c r="N94">
        <v>0.16922999999999999</v>
      </c>
      <c r="O94" s="5">
        <v>22.865022134909999</v>
      </c>
      <c r="P94" s="6">
        <v>47</v>
      </c>
      <c r="Q94" s="1" t="s">
        <v>24</v>
      </c>
      <c r="R94" s="1" t="s">
        <v>25</v>
      </c>
      <c r="S94" s="7" cm="1">
        <f t="array" ref="S94">_xlfn.SWITCH(tblSMB[[#This Row],[segment]],
"At Risk",1,
"Ops Constrained",2,
"Ad Inefficient",3,
"High Potential",4,
"Core",5,99)</f>
        <v>5</v>
      </c>
      <c r="T94" s="7" t="str" cm="1">
        <f t="array" ref="T94">_xlfn.SWITCH(tblSMB[[#This Row],[segment]],
"At Risk","48 hours",
"Ops Constrained","72 hours",
"Ad Inefficient","1 week",
"High Potential","1 week",
"Core","2 weeks","")</f>
        <v>2 weeks</v>
      </c>
      <c r="U94" s="9" t="str">
        <f>IF(AND(tblSMB[[#This Row],[segment]]&lt;&gt;"Ad Inefficient",tblSMB[[#This Row],[roas]]&lt;10),"Check: Low ROAS not flagged","")</f>
        <v/>
      </c>
      <c r="V94" s="10" t="s">
        <v>26</v>
      </c>
      <c r="W94" s="10" t="s">
        <v>27</v>
      </c>
      <c r="X94" s="10" t="s">
        <v>28</v>
      </c>
      <c r="Y94" s="2"/>
      <c r="AA94" s="1"/>
    </row>
    <row r="95" spans="1:27" ht="34" x14ac:dyDescent="0.2">
      <c r="A95" s="1" t="s">
        <v>52</v>
      </c>
      <c r="B95" s="11">
        <v>46027</v>
      </c>
      <c r="C95" s="1" t="s">
        <v>53</v>
      </c>
      <c r="D95" s="1" t="s">
        <v>54</v>
      </c>
      <c r="E95">
        <v>131</v>
      </c>
      <c r="F95">
        <v>5396.28</v>
      </c>
      <c r="G95">
        <v>633</v>
      </c>
      <c r="H95" s="4">
        <v>-7.0480000000000001E-2</v>
      </c>
      <c r="I95" s="3">
        <v>5.3440000000000001E-2</v>
      </c>
      <c r="J95" s="3">
        <v>2.29E-2</v>
      </c>
      <c r="K95">
        <v>43.14</v>
      </c>
      <c r="L95">
        <v>4.67</v>
      </c>
      <c r="M95">
        <v>9.3000000000000007</v>
      </c>
      <c r="N95">
        <v>0.14504</v>
      </c>
      <c r="O95" s="5">
        <v>84.157694946239999</v>
      </c>
      <c r="P95" s="6">
        <v>48</v>
      </c>
      <c r="Q95" s="1" t="s">
        <v>55</v>
      </c>
      <c r="R95" s="1" t="s">
        <v>45</v>
      </c>
      <c r="S95" s="7" cm="1">
        <f t="array" ref="S95">_xlfn.SWITCH(tblSMB[[#This Row],[segment]],
"At Risk",1,
"Ops Constrained",2,
"Ad Inefficient",3,
"High Potential",4,
"Core",5,99)</f>
        <v>2</v>
      </c>
      <c r="T95" s="7" t="str" cm="1">
        <f t="array" ref="T95">_xlfn.SWITCH(tblSMB[[#This Row],[segment]],
"At Risk","48 hours",
"Ops Constrained","72 hours",
"Ad Inefficient","1 week",
"High Potential","1 week",
"Core","2 weeks","")</f>
        <v>72 hours</v>
      </c>
      <c r="U95" s="9" t="str">
        <f>IF(AND(tblSMB[[#This Row],[segment]]&lt;&gt;"Ad Inefficient",tblSMB[[#This Row],[roas]]&lt;10),"Check: Low ROAS not flagged","")</f>
        <v/>
      </c>
      <c r="V95" s="10" t="s">
        <v>46</v>
      </c>
      <c r="W95" s="10" t="s">
        <v>47</v>
      </c>
      <c r="X95" s="10" t="s">
        <v>48</v>
      </c>
      <c r="Y95" s="2"/>
      <c r="AA95" s="1"/>
    </row>
    <row r="96" spans="1:27" ht="34" x14ac:dyDescent="0.2">
      <c r="A96" s="1" t="s">
        <v>185</v>
      </c>
      <c r="B96" s="11">
        <v>46027</v>
      </c>
      <c r="C96" s="1" t="s">
        <v>53</v>
      </c>
      <c r="D96" s="1" t="s">
        <v>54</v>
      </c>
      <c r="E96">
        <v>308</v>
      </c>
      <c r="F96">
        <v>12587.65</v>
      </c>
      <c r="G96">
        <v>1072</v>
      </c>
      <c r="H96" s="4">
        <v>-1.107E-2</v>
      </c>
      <c r="I96" s="3">
        <v>5.8439999999999999E-2</v>
      </c>
      <c r="J96" s="3">
        <v>2.597E-2</v>
      </c>
      <c r="K96">
        <v>46.87</v>
      </c>
      <c r="L96">
        <v>4.5999999999999996</v>
      </c>
      <c r="M96">
        <v>36.89</v>
      </c>
      <c r="N96">
        <v>0.13961000000000001</v>
      </c>
      <c r="O96" s="5">
        <v>47.63802499322</v>
      </c>
      <c r="P96" s="6">
        <v>48</v>
      </c>
      <c r="Q96" s="1" t="s">
        <v>44</v>
      </c>
      <c r="R96" s="1" t="s">
        <v>45</v>
      </c>
      <c r="S96" s="7" cm="1">
        <f t="array" ref="S96">_xlfn.SWITCH(tblSMB[[#This Row],[segment]],
"At Risk",1,
"Ops Constrained",2,
"Ad Inefficient",3,
"High Potential",4,
"Core",5,99)</f>
        <v>2</v>
      </c>
      <c r="T96" s="7" t="str" cm="1">
        <f t="array" ref="T96">_xlfn.SWITCH(tblSMB[[#This Row],[segment]],
"At Risk","48 hours",
"Ops Constrained","72 hours",
"Ad Inefficient","1 week",
"High Potential","1 week",
"Core","2 weeks","")</f>
        <v>72 hours</v>
      </c>
      <c r="U96" s="9" t="str">
        <f>IF(AND(tblSMB[[#This Row],[segment]]&lt;&gt;"Ad Inefficient",tblSMB[[#This Row],[roas]]&lt;10),"Check: Low ROAS not flagged","")</f>
        <v/>
      </c>
      <c r="V96" s="10" t="s">
        <v>46</v>
      </c>
      <c r="W96" s="10" t="s">
        <v>47</v>
      </c>
      <c r="X96" s="10" t="s">
        <v>48</v>
      </c>
      <c r="Y96" s="2"/>
      <c r="AA96" s="1"/>
    </row>
    <row r="97" spans="1:27" ht="34" x14ac:dyDescent="0.2">
      <c r="A97" s="1" t="s">
        <v>212</v>
      </c>
      <c r="B97" s="11">
        <v>46027</v>
      </c>
      <c r="C97" s="1" t="s">
        <v>53</v>
      </c>
      <c r="D97" s="1" t="s">
        <v>23</v>
      </c>
      <c r="E97">
        <v>185</v>
      </c>
      <c r="F97">
        <v>3698.82</v>
      </c>
      <c r="G97">
        <v>618</v>
      </c>
      <c r="H97" s="4">
        <v>-0.14404</v>
      </c>
      <c r="I97" s="3">
        <v>4.3240000000000001E-2</v>
      </c>
      <c r="J97" s="3">
        <v>2.162E-2</v>
      </c>
      <c r="K97">
        <v>23.64</v>
      </c>
      <c r="L97">
        <v>4.62</v>
      </c>
      <c r="M97">
        <v>47.85</v>
      </c>
      <c r="N97">
        <v>0.16757</v>
      </c>
      <c r="O97" s="5">
        <v>12.953025747130001</v>
      </c>
      <c r="P97" s="6">
        <v>48</v>
      </c>
      <c r="Q97" s="1" t="s">
        <v>41</v>
      </c>
      <c r="R97" s="1" t="s">
        <v>168</v>
      </c>
      <c r="S97" s="7" cm="1">
        <f t="array" ref="S97">_xlfn.SWITCH(tblSMB[[#This Row],[segment]],
"At Risk",1,
"Ops Constrained",2,
"Ad Inefficient",3,
"High Potential",4,
"Core",5,99)</f>
        <v>3</v>
      </c>
      <c r="T97" s="7" t="str" cm="1">
        <f t="array" ref="T97">_xlfn.SWITCH(tblSMB[[#This Row],[segment]],
"At Risk","48 hours",
"Ops Constrained","72 hours",
"Ad Inefficient","1 week",
"High Potential","1 week",
"Core","2 weeks","")</f>
        <v>1 week</v>
      </c>
      <c r="U97" s="9" t="str">
        <f>IF(AND(tblSMB[[#This Row],[segment]]&lt;&gt;"Ad Inefficient",tblSMB[[#This Row],[roas]]&lt;10),"Check: Low ROAS not flagged","")</f>
        <v/>
      </c>
      <c r="V97" s="10" t="s">
        <v>169</v>
      </c>
      <c r="W97" s="10" t="s">
        <v>170</v>
      </c>
      <c r="X97" s="10" t="s">
        <v>171</v>
      </c>
      <c r="Y97" s="2"/>
      <c r="AA97" s="1"/>
    </row>
    <row r="98" spans="1:27" ht="34" x14ac:dyDescent="0.2">
      <c r="A98" s="1" t="s">
        <v>249</v>
      </c>
      <c r="B98" s="11">
        <v>46027</v>
      </c>
      <c r="C98" s="1" t="s">
        <v>30</v>
      </c>
      <c r="D98" s="1" t="s">
        <v>23</v>
      </c>
      <c r="E98">
        <v>268</v>
      </c>
      <c r="F98">
        <v>6454.94</v>
      </c>
      <c r="G98">
        <v>1056</v>
      </c>
      <c r="H98" s="4">
        <v>-6.0499999999999998E-2</v>
      </c>
      <c r="I98" s="3">
        <v>5.2240000000000002E-2</v>
      </c>
      <c r="J98" s="3">
        <v>2.9850000000000002E-2</v>
      </c>
      <c r="K98">
        <v>25.74</v>
      </c>
      <c r="L98">
        <v>4.66</v>
      </c>
      <c r="M98">
        <v>91.7</v>
      </c>
      <c r="N98">
        <v>0.17537</v>
      </c>
      <c r="O98" s="5">
        <v>12.344853424209999</v>
      </c>
      <c r="P98" s="6">
        <v>48</v>
      </c>
      <c r="Q98" s="1" t="s">
        <v>65</v>
      </c>
      <c r="R98" s="1" t="s">
        <v>168</v>
      </c>
      <c r="S98" s="7" cm="1">
        <f t="array" ref="S98">_xlfn.SWITCH(tblSMB[[#This Row],[segment]],
"At Risk",1,
"Ops Constrained",2,
"Ad Inefficient",3,
"High Potential",4,
"Core",5,99)</f>
        <v>3</v>
      </c>
      <c r="T98" s="7" t="str" cm="1">
        <f t="array" ref="T98">_xlfn.SWITCH(tblSMB[[#This Row],[segment]],
"At Risk","48 hours",
"Ops Constrained","72 hours",
"Ad Inefficient","1 week",
"High Potential","1 week",
"Core","2 weeks","")</f>
        <v>1 week</v>
      </c>
      <c r="U98" s="9" t="str">
        <f>IF(AND(tblSMB[[#This Row],[segment]]&lt;&gt;"Ad Inefficient",tblSMB[[#This Row],[roas]]&lt;10),"Check: Low ROAS not flagged","")</f>
        <v/>
      </c>
      <c r="V98" s="10" t="s">
        <v>169</v>
      </c>
      <c r="W98" s="10" t="s">
        <v>170</v>
      </c>
      <c r="X98" s="10" t="s">
        <v>171</v>
      </c>
      <c r="Y98" s="2"/>
      <c r="AA98" s="1"/>
    </row>
    <row r="99" spans="1:27" ht="34" x14ac:dyDescent="0.2">
      <c r="A99" s="1" t="s">
        <v>117</v>
      </c>
      <c r="B99" s="11">
        <v>46027</v>
      </c>
      <c r="C99" s="1" t="s">
        <v>79</v>
      </c>
      <c r="D99" s="1" t="s">
        <v>31</v>
      </c>
      <c r="E99">
        <v>221</v>
      </c>
      <c r="F99">
        <v>3496.99</v>
      </c>
      <c r="G99">
        <v>956</v>
      </c>
      <c r="H99" s="4">
        <v>-0.16506999999999999</v>
      </c>
      <c r="I99" s="3">
        <v>4.5249999999999999E-2</v>
      </c>
      <c r="J99" s="3">
        <v>2.2620000000000001E-2</v>
      </c>
      <c r="K99">
        <v>22.74</v>
      </c>
      <c r="L99">
        <v>4.6900000000000004</v>
      </c>
      <c r="M99">
        <v>21.27</v>
      </c>
      <c r="N99">
        <v>0.1086</v>
      </c>
      <c r="O99" s="5">
        <v>17.854424823700001</v>
      </c>
      <c r="P99" s="6">
        <v>48</v>
      </c>
      <c r="Q99" s="1" t="s">
        <v>41</v>
      </c>
      <c r="R99" s="1" t="s">
        <v>25</v>
      </c>
      <c r="S99" s="7" cm="1">
        <f t="array" ref="S99">_xlfn.SWITCH(tblSMB[[#This Row],[segment]],
"At Risk",1,
"Ops Constrained",2,
"Ad Inefficient",3,
"High Potential",4,
"Core",5,99)</f>
        <v>5</v>
      </c>
      <c r="T99" s="7" t="str" cm="1">
        <f t="array" ref="T99">_xlfn.SWITCH(tblSMB[[#This Row],[segment]],
"At Risk","48 hours",
"Ops Constrained","72 hours",
"Ad Inefficient","1 week",
"High Potential","1 week",
"Core","2 weeks","")</f>
        <v>2 weeks</v>
      </c>
      <c r="U99" s="9" t="str">
        <f>IF(AND(tblSMB[[#This Row],[segment]]&lt;&gt;"Ad Inefficient",tblSMB[[#This Row],[roas]]&lt;10),"Check: Low ROAS not flagged","")</f>
        <v/>
      </c>
      <c r="V99" s="10" t="s">
        <v>26</v>
      </c>
      <c r="W99" s="10" t="s">
        <v>27</v>
      </c>
      <c r="X99" s="10" t="s">
        <v>28</v>
      </c>
      <c r="Y99" s="2"/>
      <c r="AA99" s="1"/>
    </row>
    <row r="100" spans="1:27" ht="34" x14ac:dyDescent="0.2">
      <c r="A100" s="1" t="s">
        <v>118</v>
      </c>
      <c r="B100" s="11">
        <v>46027</v>
      </c>
      <c r="C100" s="1" t="s">
        <v>22</v>
      </c>
      <c r="D100" s="1" t="s">
        <v>58</v>
      </c>
      <c r="E100">
        <v>91</v>
      </c>
      <c r="F100">
        <v>1734.81</v>
      </c>
      <c r="G100">
        <v>321</v>
      </c>
      <c r="H100" s="4">
        <v>-3.0210000000000001E-2</v>
      </c>
      <c r="I100" s="3">
        <v>4.3959999999999999E-2</v>
      </c>
      <c r="J100" s="3">
        <v>3.2969999999999999E-2</v>
      </c>
      <c r="K100">
        <v>30.86</v>
      </c>
      <c r="L100">
        <v>4.54</v>
      </c>
      <c r="M100">
        <v>21.46</v>
      </c>
      <c r="N100">
        <v>0.10989</v>
      </c>
      <c r="O100" s="5">
        <v>8.8834324324300002</v>
      </c>
      <c r="P100" s="6">
        <v>48</v>
      </c>
      <c r="Q100" s="1" t="s">
        <v>65</v>
      </c>
      <c r="R100" s="1" t="s">
        <v>25</v>
      </c>
      <c r="S100" s="7" cm="1">
        <f t="array" ref="S100">_xlfn.SWITCH(tblSMB[[#This Row],[segment]],
"At Risk",1,
"Ops Constrained",2,
"Ad Inefficient",3,
"High Potential",4,
"Core",5,99)</f>
        <v>5</v>
      </c>
      <c r="T100" s="7" t="str" cm="1">
        <f t="array" ref="T100">_xlfn.SWITCH(tblSMB[[#This Row],[segment]],
"At Risk","48 hours",
"Ops Constrained","72 hours",
"Ad Inefficient","1 week",
"High Potential","1 week",
"Core","2 weeks","")</f>
        <v>2 weeks</v>
      </c>
      <c r="U100" s="9" t="str">
        <f>IF(AND(tblSMB[[#This Row],[segment]]&lt;&gt;"Ad Inefficient",tblSMB[[#This Row],[roas]]&lt;10),"Check: Low ROAS not flagged","")</f>
        <v>Check: Low ROAS not flagged</v>
      </c>
      <c r="V100" s="10" t="s">
        <v>26</v>
      </c>
      <c r="W100" s="10" t="s">
        <v>27</v>
      </c>
      <c r="X100" s="10" t="s">
        <v>28</v>
      </c>
      <c r="Y100" s="2"/>
      <c r="AA100" s="1"/>
    </row>
    <row r="101" spans="1:27" ht="34" x14ac:dyDescent="0.2">
      <c r="A101" s="1" t="s">
        <v>193</v>
      </c>
      <c r="B101" s="11">
        <v>46027</v>
      </c>
      <c r="C101" s="1" t="s">
        <v>57</v>
      </c>
      <c r="D101" s="1" t="s">
        <v>58</v>
      </c>
      <c r="E101">
        <v>268</v>
      </c>
      <c r="F101">
        <v>4495.49</v>
      </c>
      <c r="G101">
        <v>978</v>
      </c>
      <c r="H101" s="4">
        <v>-0.10603</v>
      </c>
      <c r="I101" s="3">
        <v>5.2240000000000002E-2</v>
      </c>
      <c r="J101" s="3">
        <v>2.6120000000000001E-2</v>
      </c>
      <c r="K101">
        <v>23.04</v>
      </c>
      <c r="L101">
        <v>4.57</v>
      </c>
      <c r="M101">
        <v>40.08</v>
      </c>
      <c r="N101">
        <v>0.17163999999999999</v>
      </c>
      <c r="O101" s="5">
        <v>19.251844710579999</v>
      </c>
      <c r="P101" s="6">
        <v>48</v>
      </c>
      <c r="Q101" s="1" t="s">
        <v>24</v>
      </c>
      <c r="R101" s="1" t="s">
        <v>25</v>
      </c>
      <c r="S101" s="7" cm="1">
        <f t="array" ref="S101">_xlfn.SWITCH(tblSMB[[#This Row],[segment]],
"At Risk",1,
"Ops Constrained",2,
"Ad Inefficient",3,
"High Potential",4,
"Core",5,99)</f>
        <v>5</v>
      </c>
      <c r="T101" s="7" t="str" cm="1">
        <f t="array" ref="T101">_xlfn.SWITCH(tblSMB[[#This Row],[segment]],
"At Risk","48 hours",
"Ops Constrained","72 hours",
"Ad Inefficient","1 week",
"High Potential","1 week",
"Core","2 weeks","")</f>
        <v>2 weeks</v>
      </c>
      <c r="U101" s="9" t="str">
        <f>IF(AND(tblSMB[[#This Row],[segment]]&lt;&gt;"Ad Inefficient",tblSMB[[#This Row],[roas]]&lt;10),"Check: Low ROAS not flagged","")</f>
        <v/>
      </c>
      <c r="V101" s="10" t="s">
        <v>26</v>
      </c>
      <c r="W101" s="10" t="s">
        <v>27</v>
      </c>
      <c r="X101" s="10" t="s">
        <v>28</v>
      </c>
      <c r="Y101" s="2"/>
      <c r="AA101" s="1"/>
    </row>
    <row r="102" spans="1:27" ht="34" x14ac:dyDescent="0.2">
      <c r="A102" s="1" t="s">
        <v>219</v>
      </c>
      <c r="B102" s="11">
        <v>46027</v>
      </c>
      <c r="C102" s="1" t="s">
        <v>40</v>
      </c>
      <c r="D102" s="1" t="s">
        <v>23</v>
      </c>
      <c r="E102">
        <v>216</v>
      </c>
      <c r="F102">
        <v>4379.92</v>
      </c>
      <c r="G102">
        <v>839</v>
      </c>
      <c r="H102" s="4">
        <v>2.3900000000000002E-3</v>
      </c>
      <c r="I102" s="3">
        <v>5.5559999999999998E-2</v>
      </c>
      <c r="J102" s="3">
        <v>3.2410000000000001E-2</v>
      </c>
      <c r="K102">
        <v>27.84</v>
      </c>
      <c r="L102">
        <v>4.43</v>
      </c>
      <c r="M102">
        <v>52.07</v>
      </c>
      <c r="N102">
        <v>0.18518999999999999</v>
      </c>
      <c r="O102" s="5">
        <v>15.57703629729</v>
      </c>
      <c r="P102" s="6">
        <v>48</v>
      </c>
      <c r="Q102" s="1" t="s">
        <v>65</v>
      </c>
      <c r="R102" s="1" t="s">
        <v>25</v>
      </c>
      <c r="S102" s="7" cm="1">
        <f t="array" ref="S102">_xlfn.SWITCH(tblSMB[[#This Row],[segment]],
"At Risk",1,
"Ops Constrained",2,
"Ad Inefficient",3,
"High Potential",4,
"Core",5,99)</f>
        <v>5</v>
      </c>
      <c r="T102" s="7" t="str" cm="1">
        <f t="array" ref="T102">_xlfn.SWITCH(tblSMB[[#This Row],[segment]],
"At Risk","48 hours",
"Ops Constrained","72 hours",
"Ad Inefficient","1 week",
"High Potential","1 week",
"Core","2 weeks","")</f>
        <v>2 weeks</v>
      </c>
      <c r="U102" s="9" t="str">
        <f>IF(AND(tblSMB[[#This Row],[segment]]&lt;&gt;"Ad Inefficient",tblSMB[[#This Row],[roas]]&lt;10),"Check: Low ROAS not flagged","")</f>
        <v/>
      </c>
      <c r="V102" s="10" t="s">
        <v>26</v>
      </c>
      <c r="W102" s="10" t="s">
        <v>27</v>
      </c>
      <c r="X102" s="10" t="s">
        <v>28</v>
      </c>
      <c r="Y102" s="2"/>
      <c r="AA102" s="1"/>
    </row>
    <row r="103" spans="1:27" ht="34" x14ac:dyDescent="0.2">
      <c r="A103" s="1" t="s">
        <v>74</v>
      </c>
      <c r="B103" s="11">
        <v>46027</v>
      </c>
      <c r="C103" s="1" t="s">
        <v>40</v>
      </c>
      <c r="D103" s="1" t="s">
        <v>31</v>
      </c>
      <c r="E103">
        <v>116</v>
      </c>
      <c r="F103">
        <v>1564.09</v>
      </c>
      <c r="G103">
        <v>461</v>
      </c>
      <c r="H103" s="4">
        <v>-6.4700000000000001E-3</v>
      </c>
      <c r="I103" s="3">
        <v>6.0339999999999998E-2</v>
      </c>
      <c r="J103" s="3">
        <v>2.5860000000000001E-2</v>
      </c>
      <c r="K103">
        <v>27.26</v>
      </c>
      <c r="L103">
        <v>4.21</v>
      </c>
      <c r="M103">
        <v>11.42</v>
      </c>
      <c r="N103">
        <v>0.12931000000000001</v>
      </c>
      <c r="O103" s="5">
        <v>17.710421190889999</v>
      </c>
      <c r="P103" s="6">
        <v>49</v>
      </c>
      <c r="Q103" s="1" t="s">
        <v>44</v>
      </c>
      <c r="R103" s="1" t="s">
        <v>45</v>
      </c>
      <c r="S103" s="7" cm="1">
        <f t="array" ref="S103">_xlfn.SWITCH(tblSMB[[#This Row],[segment]],
"At Risk",1,
"Ops Constrained",2,
"Ad Inefficient",3,
"High Potential",4,
"Core",5,99)</f>
        <v>2</v>
      </c>
      <c r="T103" s="7" t="str" cm="1">
        <f t="array" ref="T103">_xlfn.SWITCH(tblSMB[[#This Row],[segment]],
"At Risk","48 hours",
"Ops Constrained","72 hours",
"Ad Inefficient","1 week",
"High Potential","1 week",
"Core","2 weeks","")</f>
        <v>72 hours</v>
      </c>
      <c r="U103" s="9" t="str">
        <f>IF(AND(tblSMB[[#This Row],[segment]]&lt;&gt;"Ad Inefficient",tblSMB[[#This Row],[roas]]&lt;10),"Check: Low ROAS not flagged","")</f>
        <v/>
      </c>
      <c r="V103" s="10" t="s">
        <v>46</v>
      </c>
      <c r="W103" s="10" t="s">
        <v>47</v>
      </c>
      <c r="X103" s="10" t="s">
        <v>48</v>
      </c>
      <c r="Y103" s="2"/>
      <c r="AA103" s="1"/>
    </row>
    <row r="104" spans="1:27" ht="34" x14ac:dyDescent="0.2">
      <c r="A104" s="1" t="s">
        <v>209</v>
      </c>
      <c r="B104" s="11">
        <v>46027</v>
      </c>
      <c r="C104" s="1" t="s">
        <v>53</v>
      </c>
      <c r="D104" s="1" t="s">
        <v>31</v>
      </c>
      <c r="E104">
        <v>114</v>
      </c>
      <c r="F104">
        <v>1787.98</v>
      </c>
      <c r="G104">
        <v>430</v>
      </c>
      <c r="H104" s="4">
        <v>6.9650000000000004E-2</v>
      </c>
      <c r="I104" s="3">
        <v>5.2630000000000003E-2</v>
      </c>
      <c r="J104" s="3">
        <v>3.5090000000000003E-2</v>
      </c>
      <c r="K104">
        <v>28.05</v>
      </c>
      <c r="L104">
        <v>4.4000000000000004</v>
      </c>
      <c r="M104">
        <v>47.39</v>
      </c>
      <c r="N104">
        <v>0.13158</v>
      </c>
      <c r="O104" s="5">
        <v>4.9643495463200003</v>
      </c>
      <c r="P104" s="6">
        <v>49</v>
      </c>
      <c r="Q104" s="1" t="s">
        <v>65</v>
      </c>
      <c r="R104" s="1" t="s">
        <v>168</v>
      </c>
      <c r="S104" s="7" cm="1">
        <f t="array" ref="S104">_xlfn.SWITCH(tblSMB[[#This Row],[segment]],
"At Risk",1,
"Ops Constrained",2,
"Ad Inefficient",3,
"High Potential",4,
"Core",5,99)</f>
        <v>3</v>
      </c>
      <c r="T104" s="7" t="str" cm="1">
        <f t="array" ref="T104">_xlfn.SWITCH(tblSMB[[#This Row],[segment]],
"At Risk","48 hours",
"Ops Constrained","72 hours",
"Ad Inefficient","1 week",
"High Potential","1 week",
"Core","2 weeks","")</f>
        <v>1 week</v>
      </c>
      <c r="U104" s="9" t="str">
        <f>IF(AND(tblSMB[[#This Row],[segment]]&lt;&gt;"Ad Inefficient",tblSMB[[#This Row],[roas]]&lt;10),"Check: Low ROAS not flagged","")</f>
        <v/>
      </c>
      <c r="V104" s="10" t="s">
        <v>169</v>
      </c>
      <c r="W104" s="10" t="s">
        <v>170</v>
      </c>
      <c r="X104" s="10" t="s">
        <v>171</v>
      </c>
      <c r="Y104" s="2"/>
      <c r="AA104" s="1"/>
    </row>
    <row r="105" spans="1:27" ht="34" x14ac:dyDescent="0.2">
      <c r="A105" s="1" t="s">
        <v>94</v>
      </c>
      <c r="B105" s="11">
        <v>46027</v>
      </c>
      <c r="C105" s="1" t="s">
        <v>22</v>
      </c>
      <c r="D105" s="1" t="s">
        <v>58</v>
      </c>
      <c r="E105">
        <v>132</v>
      </c>
      <c r="F105">
        <v>2328.2399999999998</v>
      </c>
      <c r="G105">
        <v>554</v>
      </c>
      <c r="H105" s="4">
        <v>-5.9420000000000001E-2</v>
      </c>
      <c r="I105" s="3">
        <v>5.3030000000000001E-2</v>
      </c>
      <c r="J105" s="3">
        <v>2.273E-2</v>
      </c>
      <c r="K105">
        <v>28.08</v>
      </c>
      <c r="L105">
        <v>4.47</v>
      </c>
      <c r="M105">
        <v>16.010000000000002</v>
      </c>
      <c r="N105">
        <v>0.11364</v>
      </c>
      <c r="O105" s="5">
        <v>16.525467207999998</v>
      </c>
      <c r="P105" s="6">
        <v>49</v>
      </c>
      <c r="Q105" s="1" t="s">
        <v>24</v>
      </c>
      <c r="R105" s="1" t="s">
        <v>25</v>
      </c>
      <c r="S105" s="7" cm="1">
        <f t="array" ref="S105">_xlfn.SWITCH(tblSMB[[#This Row],[segment]],
"At Risk",1,
"Ops Constrained",2,
"Ad Inefficient",3,
"High Potential",4,
"Core",5,99)</f>
        <v>5</v>
      </c>
      <c r="T105" s="7" t="str" cm="1">
        <f t="array" ref="T105">_xlfn.SWITCH(tblSMB[[#This Row],[segment]],
"At Risk","48 hours",
"Ops Constrained","72 hours",
"Ad Inefficient","1 week",
"High Potential","1 week",
"Core","2 weeks","")</f>
        <v>2 weeks</v>
      </c>
      <c r="U105" s="9" t="str">
        <f>IF(AND(tblSMB[[#This Row],[segment]]&lt;&gt;"Ad Inefficient",tblSMB[[#This Row],[roas]]&lt;10),"Check: Low ROAS not flagged","")</f>
        <v/>
      </c>
      <c r="V105" s="10" t="s">
        <v>26</v>
      </c>
      <c r="W105" s="10" t="s">
        <v>27</v>
      </c>
      <c r="X105" s="10" t="s">
        <v>28</v>
      </c>
      <c r="Y105" s="2"/>
      <c r="AA105" s="1"/>
    </row>
    <row r="106" spans="1:27" ht="34" x14ac:dyDescent="0.2">
      <c r="A106" s="1" t="s">
        <v>130</v>
      </c>
      <c r="B106" s="11">
        <v>46027</v>
      </c>
      <c r="C106" s="1" t="s">
        <v>57</v>
      </c>
      <c r="D106" s="1" t="s">
        <v>43</v>
      </c>
      <c r="E106">
        <v>89</v>
      </c>
      <c r="F106">
        <v>2576.3000000000002</v>
      </c>
      <c r="G106">
        <v>309</v>
      </c>
      <c r="H106" s="4">
        <v>-6.3640000000000002E-2</v>
      </c>
      <c r="I106" s="3">
        <v>5.6180000000000001E-2</v>
      </c>
      <c r="J106" s="3">
        <v>2.247E-2</v>
      </c>
      <c r="K106">
        <v>23.89</v>
      </c>
      <c r="L106">
        <v>4.46</v>
      </c>
      <c r="M106">
        <v>24.53</v>
      </c>
      <c r="N106">
        <v>0.13483000000000001</v>
      </c>
      <c r="O106" s="5">
        <v>14.160876151649999</v>
      </c>
      <c r="P106" s="6">
        <v>49</v>
      </c>
      <c r="Q106" s="1" t="s">
        <v>24</v>
      </c>
      <c r="R106" s="1" t="s">
        <v>25</v>
      </c>
      <c r="S106" s="7" cm="1">
        <f t="array" ref="S106">_xlfn.SWITCH(tblSMB[[#This Row],[segment]],
"At Risk",1,
"Ops Constrained",2,
"Ad Inefficient",3,
"High Potential",4,
"Core",5,99)</f>
        <v>5</v>
      </c>
      <c r="T106" s="7" t="str" cm="1">
        <f t="array" ref="T106">_xlfn.SWITCH(tblSMB[[#This Row],[segment]],
"At Risk","48 hours",
"Ops Constrained","72 hours",
"Ad Inefficient","1 week",
"High Potential","1 week",
"Core","2 weeks","")</f>
        <v>2 weeks</v>
      </c>
      <c r="U106" s="9" t="str">
        <f>IF(AND(tblSMB[[#This Row],[segment]]&lt;&gt;"Ad Inefficient",tblSMB[[#This Row],[roas]]&lt;10),"Check: Low ROAS not flagged","")</f>
        <v/>
      </c>
      <c r="V106" s="10" t="s">
        <v>26</v>
      </c>
      <c r="W106" s="10" t="s">
        <v>27</v>
      </c>
      <c r="X106" s="10" t="s">
        <v>28</v>
      </c>
      <c r="Y106" s="2"/>
      <c r="AA106" s="1"/>
    </row>
    <row r="107" spans="1:27" ht="34" x14ac:dyDescent="0.2">
      <c r="A107" s="1" t="s">
        <v>147</v>
      </c>
      <c r="B107" s="11">
        <v>46027</v>
      </c>
      <c r="C107" s="1" t="s">
        <v>50</v>
      </c>
      <c r="D107" s="1" t="s">
        <v>58</v>
      </c>
      <c r="E107">
        <v>195</v>
      </c>
      <c r="F107">
        <v>3062.48</v>
      </c>
      <c r="G107">
        <v>674</v>
      </c>
      <c r="H107" s="4">
        <v>-0.11199000000000001</v>
      </c>
      <c r="I107" s="3">
        <v>4.6149999999999997E-2</v>
      </c>
      <c r="J107" s="3">
        <v>2.051E-2</v>
      </c>
      <c r="K107">
        <v>29.06</v>
      </c>
      <c r="L107">
        <v>4.59</v>
      </c>
      <c r="M107">
        <v>28.39</v>
      </c>
      <c r="N107">
        <v>0.17435999999999999</v>
      </c>
      <c r="O107" s="5">
        <v>18.80841437126</v>
      </c>
      <c r="P107" s="6">
        <v>49</v>
      </c>
      <c r="Q107" s="1" t="s">
        <v>24</v>
      </c>
      <c r="R107" s="1" t="s">
        <v>25</v>
      </c>
      <c r="S107" s="7" cm="1">
        <f t="array" ref="S107">_xlfn.SWITCH(tblSMB[[#This Row],[segment]],
"At Risk",1,
"Ops Constrained",2,
"Ad Inefficient",3,
"High Potential",4,
"Core",5,99)</f>
        <v>5</v>
      </c>
      <c r="T107" s="7" t="str" cm="1">
        <f t="array" ref="T107">_xlfn.SWITCH(tblSMB[[#This Row],[segment]],
"At Risk","48 hours",
"Ops Constrained","72 hours",
"Ad Inefficient","1 week",
"High Potential","1 week",
"Core","2 weeks","")</f>
        <v>2 weeks</v>
      </c>
      <c r="U107" s="9" t="str">
        <f>IF(AND(tblSMB[[#This Row],[segment]]&lt;&gt;"Ad Inefficient",tblSMB[[#This Row],[roas]]&lt;10),"Check: Low ROAS not flagged","")</f>
        <v/>
      </c>
      <c r="V107" s="10" t="s">
        <v>26</v>
      </c>
      <c r="W107" s="10" t="s">
        <v>27</v>
      </c>
      <c r="X107" s="10" t="s">
        <v>28</v>
      </c>
      <c r="Y107" s="2"/>
      <c r="AA107" s="1"/>
    </row>
    <row r="108" spans="1:27" ht="34" x14ac:dyDescent="0.2">
      <c r="A108" s="1" t="s">
        <v>162</v>
      </c>
      <c r="B108" s="11">
        <v>46027</v>
      </c>
      <c r="C108" s="1" t="s">
        <v>30</v>
      </c>
      <c r="D108" s="1" t="s">
        <v>54</v>
      </c>
      <c r="E108">
        <v>162</v>
      </c>
      <c r="F108">
        <v>7303.12</v>
      </c>
      <c r="G108">
        <v>606</v>
      </c>
      <c r="H108" s="4">
        <v>-0.10750999999999999</v>
      </c>
      <c r="I108" s="3">
        <v>5.5559999999999998E-2</v>
      </c>
      <c r="J108" s="3">
        <v>1.235E-2</v>
      </c>
      <c r="K108">
        <v>42.09</v>
      </c>
      <c r="L108">
        <v>4.8499999999999996</v>
      </c>
      <c r="M108">
        <v>32.49</v>
      </c>
      <c r="N108">
        <v>0.19136</v>
      </c>
      <c r="O108" s="5">
        <v>43.013561957530001</v>
      </c>
      <c r="P108" s="6">
        <v>50</v>
      </c>
      <c r="Q108" s="1" t="s">
        <v>55</v>
      </c>
      <c r="R108" s="1" t="s">
        <v>59</v>
      </c>
      <c r="S108" s="7" cm="1">
        <f t="array" ref="S108">_xlfn.SWITCH(tblSMB[[#This Row],[segment]],
"At Risk",1,
"Ops Constrained",2,
"Ad Inefficient",3,
"High Potential",4,
"Core",5,99)</f>
        <v>1</v>
      </c>
      <c r="T108" s="7" t="str" cm="1">
        <f t="array" ref="T108">_xlfn.SWITCH(tblSMB[[#This Row],[segment]],
"At Risk","48 hours",
"Ops Constrained","72 hours",
"Ad Inefficient","1 week",
"High Potential","1 week",
"Core","2 weeks","")</f>
        <v>48 hours</v>
      </c>
      <c r="U108" s="9" t="str">
        <f>IF(AND(tblSMB[[#This Row],[segment]]&lt;&gt;"Ad Inefficient",tblSMB[[#This Row],[roas]]&lt;10),"Check: Low ROAS not flagged","")</f>
        <v/>
      </c>
      <c r="V108" s="10" t="s">
        <v>60</v>
      </c>
      <c r="W108" s="10" t="s">
        <v>61</v>
      </c>
      <c r="X108" s="10" t="s">
        <v>62</v>
      </c>
      <c r="Y108" s="2"/>
      <c r="AA108" s="1"/>
    </row>
    <row r="109" spans="1:27" ht="34" x14ac:dyDescent="0.2">
      <c r="A109" s="1" t="s">
        <v>140</v>
      </c>
      <c r="B109" s="11">
        <v>46027</v>
      </c>
      <c r="C109" s="1" t="s">
        <v>273</v>
      </c>
      <c r="D109" s="1" t="s">
        <v>54</v>
      </c>
      <c r="E109">
        <v>154</v>
      </c>
      <c r="F109">
        <v>6595.28</v>
      </c>
      <c r="G109">
        <v>607</v>
      </c>
      <c r="H109" s="4">
        <v>-0.12536</v>
      </c>
      <c r="I109" s="3">
        <v>3.8960000000000002E-2</v>
      </c>
      <c r="J109" s="3">
        <v>1.9480000000000001E-2</v>
      </c>
      <c r="K109">
        <v>43.28</v>
      </c>
      <c r="L109">
        <v>4.8</v>
      </c>
      <c r="M109">
        <v>26.57</v>
      </c>
      <c r="N109">
        <v>0.11039</v>
      </c>
      <c r="O109" s="5">
        <v>27.401219345129999</v>
      </c>
      <c r="P109" s="6">
        <v>50</v>
      </c>
      <c r="Q109" s="1" t="s">
        <v>55</v>
      </c>
      <c r="R109" s="1" t="s">
        <v>45</v>
      </c>
      <c r="S109" s="7" cm="1">
        <f t="array" ref="S109">_xlfn.SWITCH(tblSMB[[#This Row],[segment]],
"At Risk",1,
"Ops Constrained",2,
"Ad Inefficient",3,
"High Potential",4,
"Core",5,99)</f>
        <v>2</v>
      </c>
      <c r="T109" s="7" t="str" cm="1">
        <f t="array" ref="T109">_xlfn.SWITCH(tblSMB[[#This Row],[segment]],
"At Risk","48 hours",
"Ops Constrained","72 hours",
"Ad Inefficient","1 week",
"High Potential","1 week",
"Core","2 weeks","")</f>
        <v>72 hours</v>
      </c>
      <c r="U109" s="9" t="str">
        <f>IF(AND(tblSMB[[#This Row],[segment]]&lt;&gt;"Ad Inefficient",tblSMB[[#This Row],[roas]]&lt;10),"Check: Low ROAS not flagged","")</f>
        <v/>
      </c>
      <c r="V109" s="10" t="s">
        <v>46</v>
      </c>
      <c r="W109" s="10" t="s">
        <v>47</v>
      </c>
      <c r="X109" s="10" t="s">
        <v>48</v>
      </c>
      <c r="Y109" s="2"/>
      <c r="AA109" s="1"/>
    </row>
    <row r="110" spans="1:27" ht="34" x14ac:dyDescent="0.2">
      <c r="A110" s="1" t="s">
        <v>217</v>
      </c>
      <c r="B110" s="11">
        <v>46027</v>
      </c>
      <c r="C110" s="1" t="s">
        <v>40</v>
      </c>
      <c r="D110" s="1" t="s">
        <v>54</v>
      </c>
      <c r="E110">
        <v>170</v>
      </c>
      <c r="F110">
        <v>6851.34</v>
      </c>
      <c r="G110">
        <v>630</v>
      </c>
      <c r="H110" s="4">
        <v>-7.6249999999999998E-2</v>
      </c>
      <c r="I110" s="3">
        <v>5.2940000000000001E-2</v>
      </c>
      <c r="J110" s="3">
        <v>1.7649999999999999E-2</v>
      </c>
      <c r="K110">
        <v>45.4</v>
      </c>
      <c r="L110">
        <v>4.71</v>
      </c>
      <c r="M110">
        <v>52.03</v>
      </c>
      <c r="N110">
        <v>0.21176</v>
      </c>
      <c r="O110" s="5">
        <v>27.885296944069999</v>
      </c>
      <c r="P110" s="6">
        <v>50</v>
      </c>
      <c r="Q110" s="1" t="s">
        <v>55</v>
      </c>
      <c r="R110" s="1" t="s">
        <v>45</v>
      </c>
      <c r="S110" s="7" cm="1">
        <f t="array" ref="S110">_xlfn.SWITCH(tblSMB[[#This Row],[segment]],
"At Risk",1,
"Ops Constrained",2,
"Ad Inefficient",3,
"High Potential",4,
"Core",5,99)</f>
        <v>2</v>
      </c>
      <c r="T110" s="7" t="str" cm="1">
        <f t="array" ref="T110">_xlfn.SWITCH(tblSMB[[#This Row],[segment]],
"At Risk","48 hours",
"Ops Constrained","72 hours",
"Ad Inefficient","1 week",
"High Potential","1 week",
"Core","2 weeks","")</f>
        <v>72 hours</v>
      </c>
      <c r="U110" s="9" t="str">
        <f>IF(AND(tblSMB[[#This Row],[segment]]&lt;&gt;"Ad Inefficient",tblSMB[[#This Row],[roas]]&lt;10),"Check: Low ROAS not flagged","")</f>
        <v/>
      </c>
      <c r="V110" s="10" t="s">
        <v>46</v>
      </c>
      <c r="W110" s="10" t="s">
        <v>47</v>
      </c>
      <c r="X110" s="10" t="s">
        <v>48</v>
      </c>
      <c r="Y110" s="2"/>
      <c r="AA110" s="1"/>
    </row>
    <row r="111" spans="1:27" ht="34" x14ac:dyDescent="0.2">
      <c r="A111" s="1" t="s">
        <v>221</v>
      </c>
      <c r="B111" s="11">
        <v>46027</v>
      </c>
      <c r="C111" s="1" t="s">
        <v>79</v>
      </c>
      <c r="D111" s="1" t="s">
        <v>54</v>
      </c>
      <c r="E111">
        <v>173</v>
      </c>
      <c r="F111">
        <v>7719.61</v>
      </c>
      <c r="G111">
        <v>645</v>
      </c>
      <c r="H111" s="4">
        <v>2.0570000000000001E-2</v>
      </c>
      <c r="I111" s="3">
        <v>5.7799999999999997E-2</v>
      </c>
      <c r="J111" s="3">
        <v>2.3120000000000002E-2</v>
      </c>
      <c r="K111">
        <v>48.75</v>
      </c>
      <c r="L111">
        <v>4.6399999999999997</v>
      </c>
      <c r="M111">
        <v>52.93</v>
      </c>
      <c r="N111">
        <v>0.12717000000000001</v>
      </c>
      <c r="O111" s="5">
        <v>18.54684500283</v>
      </c>
      <c r="P111" s="6">
        <v>50</v>
      </c>
      <c r="Q111" s="1" t="s">
        <v>44</v>
      </c>
      <c r="R111" s="1" t="s">
        <v>45</v>
      </c>
      <c r="S111" s="7" cm="1">
        <f t="array" ref="S111">_xlfn.SWITCH(tblSMB[[#This Row],[segment]],
"At Risk",1,
"Ops Constrained",2,
"Ad Inefficient",3,
"High Potential",4,
"Core",5,99)</f>
        <v>2</v>
      </c>
      <c r="T111" s="7" t="str" cm="1">
        <f t="array" ref="T111">_xlfn.SWITCH(tblSMB[[#This Row],[segment]],
"At Risk","48 hours",
"Ops Constrained","72 hours",
"Ad Inefficient","1 week",
"High Potential","1 week",
"Core","2 weeks","")</f>
        <v>72 hours</v>
      </c>
      <c r="U111" s="9" t="str">
        <f>IF(AND(tblSMB[[#This Row],[segment]]&lt;&gt;"Ad Inefficient",tblSMB[[#This Row],[roas]]&lt;10),"Check: Low ROAS not flagged","")</f>
        <v/>
      </c>
      <c r="V111" s="10" t="s">
        <v>46</v>
      </c>
      <c r="W111" s="10" t="s">
        <v>47</v>
      </c>
      <c r="X111" s="10" t="s">
        <v>48</v>
      </c>
      <c r="Y111" s="2"/>
      <c r="AA111" s="1"/>
    </row>
    <row r="112" spans="1:27" ht="34" x14ac:dyDescent="0.2">
      <c r="A112" s="1" t="s">
        <v>245</v>
      </c>
      <c r="B112" s="11">
        <v>46027</v>
      </c>
      <c r="C112" s="1" t="s">
        <v>53</v>
      </c>
      <c r="D112" s="1" t="s">
        <v>54</v>
      </c>
      <c r="E112">
        <v>229</v>
      </c>
      <c r="F112">
        <v>11334.47</v>
      </c>
      <c r="G112">
        <v>931</v>
      </c>
      <c r="H112" s="4">
        <v>1.7489999999999999E-2</v>
      </c>
      <c r="I112" s="3">
        <v>6.9870000000000002E-2</v>
      </c>
      <c r="J112" s="3">
        <v>2.6200000000000001E-2</v>
      </c>
      <c r="K112">
        <v>46.13</v>
      </c>
      <c r="L112">
        <v>4.7699999999999996</v>
      </c>
      <c r="M112">
        <v>74.900000000000006</v>
      </c>
      <c r="N112">
        <v>0.21834000000000001</v>
      </c>
      <c r="O112" s="5">
        <v>33.041056074769998</v>
      </c>
      <c r="P112" s="6">
        <v>50</v>
      </c>
      <c r="Q112" s="1" t="s">
        <v>44</v>
      </c>
      <c r="R112" s="1" t="s">
        <v>45</v>
      </c>
      <c r="S112" s="7" cm="1">
        <f t="array" ref="S112">_xlfn.SWITCH(tblSMB[[#This Row],[segment]],
"At Risk",1,
"Ops Constrained",2,
"Ad Inefficient",3,
"High Potential",4,
"Core",5,99)</f>
        <v>2</v>
      </c>
      <c r="T112" s="7" t="str" cm="1">
        <f t="array" ref="T112">_xlfn.SWITCH(tblSMB[[#This Row],[segment]],
"At Risk","48 hours",
"Ops Constrained","72 hours",
"Ad Inefficient","1 week",
"High Potential","1 week",
"Core","2 weeks","")</f>
        <v>72 hours</v>
      </c>
      <c r="U112" s="9" t="str">
        <f>IF(AND(tblSMB[[#This Row],[segment]]&lt;&gt;"Ad Inefficient",tblSMB[[#This Row],[roas]]&lt;10),"Check: Low ROAS not flagged","")</f>
        <v/>
      </c>
      <c r="V112" s="10" t="s">
        <v>46</v>
      </c>
      <c r="W112" s="10" t="s">
        <v>47</v>
      </c>
      <c r="X112" s="10" t="s">
        <v>48</v>
      </c>
      <c r="Y112" s="2"/>
      <c r="AA112" s="1"/>
    </row>
    <row r="113" spans="1:27" ht="34" x14ac:dyDescent="0.2">
      <c r="A113" s="1" t="s">
        <v>210</v>
      </c>
      <c r="B113" s="11">
        <v>46027</v>
      </c>
      <c r="C113" s="1" t="s">
        <v>40</v>
      </c>
      <c r="D113" s="1" t="s">
        <v>31</v>
      </c>
      <c r="E113">
        <v>210</v>
      </c>
      <c r="F113">
        <v>3032.82</v>
      </c>
      <c r="G113">
        <v>949</v>
      </c>
      <c r="H113" s="4">
        <v>2.7060000000000001E-2</v>
      </c>
      <c r="I113" s="3">
        <v>4.7620000000000003E-2</v>
      </c>
      <c r="J113" s="3">
        <v>3.3329999999999999E-2</v>
      </c>
      <c r="K113">
        <v>28.76</v>
      </c>
      <c r="L113">
        <v>4.41</v>
      </c>
      <c r="M113">
        <v>47.65</v>
      </c>
      <c r="N113">
        <v>0.10476000000000001</v>
      </c>
      <c r="O113" s="5">
        <v>6.66786988458</v>
      </c>
      <c r="P113" s="6">
        <v>50</v>
      </c>
      <c r="Q113" s="1" t="s">
        <v>65</v>
      </c>
      <c r="R113" s="1" t="s">
        <v>168</v>
      </c>
      <c r="S113" s="7" cm="1">
        <f t="array" ref="S113">_xlfn.SWITCH(tblSMB[[#This Row],[segment]],
"At Risk",1,
"Ops Constrained",2,
"Ad Inefficient",3,
"High Potential",4,
"Core",5,99)</f>
        <v>3</v>
      </c>
      <c r="T113" s="7" t="str" cm="1">
        <f t="array" ref="T113">_xlfn.SWITCH(tblSMB[[#This Row],[segment]],
"At Risk","48 hours",
"Ops Constrained","72 hours",
"Ad Inefficient","1 week",
"High Potential","1 week",
"Core","2 weeks","")</f>
        <v>1 week</v>
      </c>
      <c r="U113" s="9" t="str">
        <f>IF(AND(tblSMB[[#This Row],[segment]]&lt;&gt;"Ad Inefficient",tblSMB[[#This Row],[roas]]&lt;10),"Check: Low ROAS not flagged","")</f>
        <v/>
      </c>
      <c r="V113" s="10" t="s">
        <v>169</v>
      </c>
      <c r="W113" s="10" t="s">
        <v>170</v>
      </c>
      <c r="X113" s="10" t="s">
        <v>171</v>
      </c>
      <c r="Y113" s="2"/>
      <c r="AA113" s="1"/>
    </row>
    <row r="114" spans="1:27" ht="34" x14ac:dyDescent="0.2">
      <c r="A114" s="1" t="s">
        <v>123</v>
      </c>
      <c r="B114" s="11">
        <v>46027</v>
      </c>
      <c r="C114" s="1" t="s">
        <v>30</v>
      </c>
      <c r="D114" s="1" t="s">
        <v>23</v>
      </c>
      <c r="E114">
        <v>102</v>
      </c>
      <c r="F114">
        <v>1945.77</v>
      </c>
      <c r="G114">
        <v>436</v>
      </c>
      <c r="H114" s="4">
        <v>-2.0219999999999998E-2</v>
      </c>
      <c r="I114" s="3">
        <v>3.9219999999999998E-2</v>
      </c>
      <c r="J114" s="3">
        <v>2.9409999999999999E-2</v>
      </c>
      <c r="K114">
        <v>33.659999999999997</v>
      </c>
      <c r="L114">
        <v>4.38</v>
      </c>
      <c r="M114">
        <v>22.91</v>
      </c>
      <c r="N114">
        <v>0.14706</v>
      </c>
      <c r="O114" s="5">
        <v>12.48985770406</v>
      </c>
      <c r="P114" s="6">
        <v>50</v>
      </c>
      <c r="Q114" s="1" t="s">
        <v>100</v>
      </c>
      <c r="R114" s="1" t="s">
        <v>25</v>
      </c>
      <c r="S114" s="7" cm="1">
        <f t="array" ref="S114">_xlfn.SWITCH(tblSMB[[#This Row],[segment]],
"At Risk",1,
"Ops Constrained",2,
"Ad Inefficient",3,
"High Potential",4,
"Core",5,99)</f>
        <v>5</v>
      </c>
      <c r="T114" s="7" t="str" cm="1">
        <f t="array" ref="T114">_xlfn.SWITCH(tblSMB[[#This Row],[segment]],
"At Risk","48 hours",
"Ops Constrained","72 hours",
"Ad Inefficient","1 week",
"High Potential","1 week",
"Core","2 weeks","")</f>
        <v>2 weeks</v>
      </c>
      <c r="U114" s="9" t="str">
        <f>IF(AND(tblSMB[[#This Row],[segment]]&lt;&gt;"Ad Inefficient",tblSMB[[#This Row],[roas]]&lt;10),"Check: Low ROAS not flagged","")</f>
        <v/>
      </c>
      <c r="V114" s="10" t="s">
        <v>26</v>
      </c>
      <c r="W114" s="10" t="s">
        <v>27</v>
      </c>
      <c r="X114" s="10" t="s">
        <v>28</v>
      </c>
      <c r="Y114" s="2"/>
      <c r="AA114" s="1"/>
    </row>
    <row r="115" spans="1:27" ht="34" x14ac:dyDescent="0.2">
      <c r="A115" s="1" t="s">
        <v>158</v>
      </c>
      <c r="B115" s="11">
        <v>46027</v>
      </c>
      <c r="C115" s="1" t="s">
        <v>50</v>
      </c>
      <c r="D115" s="1" t="s">
        <v>43</v>
      </c>
      <c r="E115">
        <v>205</v>
      </c>
      <c r="F115">
        <v>5863.33</v>
      </c>
      <c r="G115">
        <v>920</v>
      </c>
      <c r="H115" s="4">
        <v>-8.7300000000000003E-2</v>
      </c>
      <c r="I115" s="3">
        <v>4.8779999999999997E-2</v>
      </c>
      <c r="J115" s="3">
        <v>2.4389999999999998E-2</v>
      </c>
      <c r="K115">
        <v>24.15</v>
      </c>
      <c r="L115">
        <v>4.3600000000000003</v>
      </c>
      <c r="M115">
        <v>30.89</v>
      </c>
      <c r="N115">
        <v>8.7800000000000003E-2</v>
      </c>
      <c r="O115" s="5">
        <v>16.666525736480001</v>
      </c>
      <c r="P115" s="6">
        <v>50</v>
      </c>
      <c r="Q115" s="1" t="s">
        <v>24</v>
      </c>
      <c r="R115" s="1" t="s">
        <v>25</v>
      </c>
      <c r="S115" s="7" cm="1">
        <f t="array" ref="S115">_xlfn.SWITCH(tblSMB[[#This Row],[segment]],
"At Risk",1,
"Ops Constrained",2,
"Ad Inefficient",3,
"High Potential",4,
"Core",5,99)</f>
        <v>5</v>
      </c>
      <c r="T115" s="7" t="str" cm="1">
        <f t="array" ref="T115">_xlfn.SWITCH(tblSMB[[#This Row],[segment]],
"At Risk","48 hours",
"Ops Constrained","72 hours",
"Ad Inefficient","1 week",
"High Potential","1 week",
"Core","2 weeks","")</f>
        <v>2 weeks</v>
      </c>
      <c r="U115" s="9" t="str">
        <f>IF(AND(tblSMB[[#This Row],[segment]]&lt;&gt;"Ad Inefficient",tblSMB[[#This Row],[roas]]&lt;10),"Check: Low ROAS not flagged","")</f>
        <v/>
      </c>
      <c r="V115" s="10" t="s">
        <v>26</v>
      </c>
      <c r="W115" s="10" t="s">
        <v>27</v>
      </c>
      <c r="X115" s="10" t="s">
        <v>28</v>
      </c>
      <c r="Y115" s="2"/>
      <c r="AA115" s="1"/>
    </row>
    <row r="116" spans="1:27" ht="34" x14ac:dyDescent="0.2">
      <c r="A116" s="1" t="s">
        <v>214</v>
      </c>
      <c r="B116" s="11">
        <v>46027</v>
      </c>
      <c r="C116" s="1" t="s">
        <v>40</v>
      </c>
      <c r="D116" s="1" t="s">
        <v>23</v>
      </c>
      <c r="E116">
        <v>188</v>
      </c>
      <c r="F116">
        <v>3570.2</v>
      </c>
      <c r="G116">
        <v>706</v>
      </c>
      <c r="H116" s="4">
        <v>-5.2350000000000001E-2</v>
      </c>
      <c r="I116" s="3">
        <v>4.7870000000000003E-2</v>
      </c>
      <c r="J116" s="3">
        <v>2.128E-2</v>
      </c>
      <c r="K116">
        <v>31.56</v>
      </c>
      <c r="L116">
        <v>4.4800000000000004</v>
      </c>
      <c r="M116">
        <v>51.26</v>
      </c>
      <c r="N116">
        <v>0.19148999999999999</v>
      </c>
      <c r="O116" s="5">
        <v>13.33701396801</v>
      </c>
      <c r="P116" s="6">
        <v>50</v>
      </c>
      <c r="Q116" s="1" t="s">
        <v>24</v>
      </c>
      <c r="R116" s="1" t="s">
        <v>25</v>
      </c>
      <c r="S116" s="7" cm="1">
        <f t="array" ref="S116">_xlfn.SWITCH(tblSMB[[#This Row],[segment]],
"At Risk",1,
"Ops Constrained",2,
"Ad Inefficient",3,
"High Potential",4,
"Core",5,99)</f>
        <v>5</v>
      </c>
      <c r="T116" s="7" t="str" cm="1">
        <f t="array" ref="T116">_xlfn.SWITCH(tblSMB[[#This Row],[segment]],
"At Risk","48 hours",
"Ops Constrained","72 hours",
"Ad Inefficient","1 week",
"High Potential","1 week",
"Core","2 weeks","")</f>
        <v>2 weeks</v>
      </c>
      <c r="U116" s="9" t="str">
        <f>IF(AND(tblSMB[[#This Row],[segment]]&lt;&gt;"Ad Inefficient",tblSMB[[#This Row],[roas]]&lt;10),"Check: Low ROAS not flagged","")</f>
        <v/>
      </c>
      <c r="V116" s="10" t="s">
        <v>26</v>
      </c>
      <c r="W116" s="10" t="s">
        <v>27</v>
      </c>
      <c r="X116" s="10" t="s">
        <v>28</v>
      </c>
      <c r="Y116" s="2"/>
      <c r="AA116" s="1"/>
    </row>
    <row r="117" spans="1:27" ht="34" x14ac:dyDescent="0.2">
      <c r="A117" s="1" t="s">
        <v>258</v>
      </c>
      <c r="B117" s="11">
        <v>46027</v>
      </c>
      <c r="C117" s="1" t="s">
        <v>79</v>
      </c>
      <c r="D117" s="1" t="s">
        <v>23</v>
      </c>
      <c r="E117">
        <v>281</v>
      </c>
      <c r="F117">
        <v>6219.09</v>
      </c>
      <c r="G117">
        <v>972</v>
      </c>
      <c r="H117" s="4">
        <v>-4.1419999999999998E-2</v>
      </c>
      <c r="I117" s="3">
        <v>4.2700000000000002E-2</v>
      </c>
      <c r="J117" s="3">
        <v>2.8469999999999999E-2</v>
      </c>
      <c r="K117">
        <v>30.45</v>
      </c>
      <c r="L117">
        <v>4.6100000000000003</v>
      </c>
      <c r="M117">
        <v>114.83</v>
      </c>
      <c r="N117">
        <v>0.13522999999999999</v>
      </c>
      <c r="O117" s="5">
        <v>7.3240070887400002</v>
      </c>
      <c r="P117" s="6">
        <v>51</v>
      </c>
      <c r="Q117" s="1" t="s">
        <v>100</v>
      </c>
      <c r="R117" s="1" t="s">
        <v>168</v>
      </c>
      <c r="S117" s="7" cm="1">
        <f t="array" ref="S117">_xlfn.SWITCH(tblSMB[[#This Row],[segment]],
"At Risk",1,
"Ops Constrained",2,
"Ad Inefficient",3,
"High Potential",4,
"Core",5,99)</f>
        <v>3</v>
      </c>
      <c r="T117" s="7" t="str" cm="1">
        <f t="array" ref="T117">_xlfn.SWITCH(tblSMB[[#This Row],[segment]],
"At Risk","48 hours",
"Ops Constrained","72 hours",
"Ad Inefficient","1 week",
"High Potential","1 week",
"Core","2 weeks","")</f>
        <v>1 week</v>
      </c>
      <c r="U117" s="9" t="str">
        <f>IF(AND(tblSMB[[#This Row],[segment]]&lt;&gt;"Ad Inefficient",tblSMB[[#This Row],[roas]]&lt;10),"Check: Low ROAS not flagged","")</f>
        <v/>
      </c>
      <c r="V117" s="10" t="s">
        <v>169</v>
      </c>
      <c r="W117" s="10" t="s">
        <v>170</v>
      </c>
      <c r="X117" s="10" t="s">
        <v>171</v>
      </c>
      <c r="Y117" s="2"/>
      <c r="AA117" s="1"/>
    </row>
    <row r="118" spans="1:27" ht="34" x14ac:dyDescent="0.2">
      <c r="A118" s="1" t="s">
        <v>180</v>
      </c>
      <c r="B118" s="11">
        <v>46027</v>
      </c>
      <c r="C118" s="1" t="s">
        <v>273</v>
      </c>
      <c r="D118" s="1" t="s">
        <v>43</v>
      </c>
      <c r="E118">
        <v>193</v>
      </c>
      <c r="F118">
        <v>6583.62</v>
      </c>
      <c r="G118">
        <v>769</v>
      </c>
      <c r="H118" s="4">
        <v>-0.13886000000000001</v>
      </c>
      <c r="I118" s="3">
        <v>4.6629999999999998E-2</v>
      </c>
      <c r="J118" s="3">
        <v>2.0729999999999998E-2</v>
      </c>
      <c r="K118">
        <v>25.67</v>
      </c>
      <c r="L118">
        <v>4.8099999999999996</v>
      </c>
      <c r="M118">
        <v>35.450000000000003</v>
      </c>
      <c r="N118">
        <v>9.3259999999999996E-2</v>
      </c>
      <c r="O118" s="5">
        <v>17.320631255289999</v>
      </c>
      <c r="P118" s="6">
        <v>51</v>
      </c>
      <c r="Q118" s="1" t="s">
        <v>41</v>
      </c>
      <c r="R118" s="1" t="s">
        <v>32</v>
      </c>
      <c r="S118" s="7" cm="1">
        <f t="array" ref="S118">_xlfn.SWITCH(tblSMB[[#This Row],[segment]],
"At Risk",1,
"Ops Constrained",2,
"Ad Inefficient",3,
"High Potential",4,
"Core",5,99)</f>
        <v>4</v>
      </c>
      <c r="T118" s="7" t="str" cm="1">
        <f t="array" ref="T118">_xlfn.SWITCH(tblSMB[[#This Row],[segment]],
"At Risk","48 hours",
"Ops Constrained","72 hours",
"Ad Inefficient","1 week",
"High Potential","1 week",
"Core","2 weeks","")</f>
        <v>1 week</v>
      </c>
      <c r="U118" s="9" t="str">
        <f>IF(AND(tblSMB[[#This Row],[segment]]&lt;&gt;"Ad Inefficient",tblSMB[[#This Row],[roas]]&lt;10),"Check: Low ROAS not flagged","")</f>
        <v/>
      </c>
      <c r="V118" s="10" t="s">
        <v>33</v>
      </c>
      <c r="W118" s="10" t="s">
        <v>34</v>
      </c>
      <c r="X118" s="10" t="s">
        <v>35</v>
      </c>
      <c r="Y118" s="2"/>
      <c r="AA118" s="1"/>
    </row>
    <row r="119" spans="1:27" ht="34" x14ac:dyDescent="0.2">
      <c r="A119" s="1" t="s">
        <v>211</v>
      </c>
      <c r="B119" s="11">
        <v>46027</v>
      </c>
      <c r="C119" s="1" t="s">
        <v>37</v>
      </c>
      <c r="D119" s="1" t="s">
        <v>31</v>
      </c>
      <c r="E119">
        <v>209</v>
      </c>
      <c r="F119">
        <v>3390.82</v>
      </c>
      <c r="G119">
        <v>816</v>
      </c>
      <c r="H119" s="4">
        <v>4.9300000000000004E-3</v>
      </c>
      <c r="I119" s="3">
        <v>5.7419999999999999E-2</v>
      </c>
      <c r="J119" s="3">
        <v>3.3489999999999999E-2</v>
      </c>
      <c r="K119">
        <v>24.48</v>
      </c>
      <c r="L119">
        <v>4.6900000000000004</v>
      </c>
      <c r="M119">
        <v>47.68</v>
      </c>
      <c r="N119">
        <v>0.18182000000000001</v>
      </c>
      <c r="O119" s="5">
        <v>12.930216484900001</v>
      </c>
      <c r="P119" s="6">
        <v>52</v>
      </c>
      <c r="Q119" s="1" t="s">
        <v>44</v>
      </c>
      <c r="R119" s="1" t="s">
        <v>45</v>
      </c>
      <c r="S119" s="7" cm="1">
        <f t="array" ref="S119">_xlfn.SWITCH(tblSMB[[#This Row],[segment]],
"At Risk",1,
"Ops Constrained",2,
"Ad Inefficient",3,
"High Potential",4,
"Core",5,99)</f>
        <v>2</v>
      </c>
      <c r="T119" s="7" t="str" cm="1">
        <f t="array" ref="T119">_xlfn.SWITCH(tblSMB[[#This Row],[segment]],
"At Risk","48 hours",
"Ops Constrained","72 hours",
"Ad Inefficient","1 week",
"High Potential","1 week",
"Core","2 weeks","")</f>
        <v>72 hours</v>
      </c>
      <c r="U119" s="9" t="str">
        <f>IF(AND(tblSMB[[#This Row],[segment]]&lt;&gt;"Ad Inefficient",tblSMB[[#This Row],[roas]]&lt;10),"Check: Low ROAS not flagged","")</f>
        <v/>
      </c>
      <c r="V119" s="10" t="s">
        <v>46</v>
      </c>
      <c r="W119" s="10" t="s">
        <v>47</v>
      </c>
      <c r="X119" s="10" t="s">
        <v>48</v>
      </c>
      <c r="Y119" s="2"/>
      <c r="AA119" s="1"/>
    </row>
    <row r="120" spans="1:27" ht="34" x14ac:dyDescent="0.2">
      <c r="A120" s="1" t="s">
        <v>220</v>
      </c>
      <c r="B120" s="11">
        <v>46027</v>
      </c>
      <c r="C120" s="1" t="s">
        <v>50</v>
      </c>
      <c r="D120" s="1" t="s">
        <v>38</v>
      </c>
      <c r="E120">
        <v>164</v>
      </c>
      <c r="F120">
        <v>4765.58</v>
      </c>
      <c r="G120">
        <v>638</v>
      </c>
      <c r="H120" s="4">
        <v>-0.12242</v>
      </c>
      <c r="I120" s="3">
        <v>4.2680000000000003E-2</v>
      </c>
      <c r="J120" s="3">
        <v>1.8290000000000001E-2</v>
      </c>
      <c r="K120">
        <v>34.07</v>
      </c>
      <c r="L120">
        <v>4.8899999999999997</v>
      </c>
      <c r="M120">
        <v>52.17</v>
      </c>
      <c r="N120">
        <v>0.25</v>
      </c>
      <c r="O120" s="5">
        <v>22.83678387962</v>
      </c>
      <c r="P120" s="6">
        <v>53</v>
      </c>
      <c r="Q120" s="1" t="s">
        <v>55</v>
      </c>
      <c r="R120" s="1" t="s">
        <v>45</v>
      </c>
      <c r="S120" s="7" cm="1">
        <f t="array" ref="S120">_xlfn.SWITCH(tblSMB[[#This Row],[segment]],
"At Risk",1,
"Ops Constrained",2,
"Ad Inefficient",3,
"High Potential",4,
"Core",5,99)</f>
        <v>2</v>
      </c>
      <c r="T120" s="7" t="str" cm="1">
        <f t="array" ref="T120">_xlfn.SWITCH(tblSMB[[#This Row],[segment]],
"At Risk","48 hours",
"Ops Constrained","72 hours",
"Ad Inefficient","1 week",
"High Potential","1 week",
"Core","2 weeks","")</f>
        <v>72 hours</v>
      </c>
      <c r="U120" s="9" t="str">
        <f>IF(AND(tblSMB[[#This Row],[segment]]&lt;&gt;"Ad Inefficient",tblSMB[[#This Row],[roas]]&lt;10),"Check: Low ROAS not flagged","")</f>
        <v/>
      </c>
      <c r="V120" s="10" t="s">
        <v>46</v>
      </c>
      <c r="W120" s="10" t="s">
        <v>47</v>
      </c>
      <c r="X120" s="10" t="s">
        <v>48</v>
      </c>
      <c r="Y120" s="2"/>
      <c r="AA120" s="1"/>
    </row>
    <row r="121" spans="1:27" ht="34" x14ac:dyDescent="0.2">
      <c r="A121" s="1" t="s">
        <v>229</v>
      </c>
      <c r="B121" s="11">
        <v>46027</v>
      </c>
      <c r="C121" s="1" t="s">
        <v>53</v>
      </c>
      <c r="D121" s="1" t="s">
        <v>54</v>
      </c>
      <c r="E121">
        <v>233</v>
      </c>
      <c r="F121">
        <v>10330.870000000001</v>
      </c>
      <c r="G121">
        <v>797</v>
      </c>
      <c r="H121" s="4">
        <v>1.3990000000000001E-2</v>
      </c>
      <c r="I121" s="3">
        <v>5.5789999999999999E-2</v>
      </c>
      <c r="J121" s="3">
        <v>2.146E-2</v>
      </c>
      <c r="K121">
        <v>42.55</v>
      </c>
      <c r="L121">
        <v>4.6100000000000003</v>
      </c>
      <c r="M121">
        <v>57.19</v>
      </c>
      <c r="N121">
        <v>0.10730000000000001</v>
      </c>
      <c r="O121" s="5">
        <v>19.382102640319999</v>
      </c>
      <c r="P121" s="6">
        <v>53</v>
      </c>
      <c r="Q121" s="1" t="s">
        <v>55</v>
      </c>
      <c r="R121" s="1" t="s">
        <v>45</v>
      </c>
      <c r="S121" s="7" cm="1">
        <f t="array" ref="S121">_xlfn.SWITCH(tblSMB[[#This Row],[segment]],
"At Risk",1,
"Ops Constrained",2,
"Ad Inefficient",3,
"High Potential",4,
"Core",5,99)</f>
        <v>2</v>
      </c>
      <c r="T121" s="7" t="str" cm="1">
        <f t="array" ref="T121">_xlfn.SWITCH(tblSMB[[#This Row],[segment]],
"At Risk","48 hours",
"Ops Constrained","72 hours",
"Ad Inefficient","1 week",
"High Potential","1 week",
"Core","2 weeks","")</f>
        <v>72 hours</v>
      </c>
      <c r="U121" s="9" t="str">
        <f>IF(AND(tblSMB[[#This Row],[segment]]&lt;&gt;"Ad Inefficient",tblSMB[[#This Row],[roas]]&lt;10),"Check: Low ROAS not flagged","")</f>
        <v/>
      </c>
      <c r="V121" s="10" t="s">
        <v>46</v>
      </c>
      <c r="W121" s="10" t="s">
        <v>47</v>
      </c>
      <c r="X121" s="10" t="s">
        <v>48</v>
      </c>
      <c r="Y121" s="2"/>
      <c r="AA121" s="1"/>
    </row>
    <row r="122" spans="1:27" ht="34" x14ac:dyDescent="0.2">
      <c r="A122" s="1" t="s">
        <v>184</v>
      </c>
      <c r="B122" s="11">
        <v>46027</v>
      </c>
      <c r="C122" s="1" t="s">
        <v>68</v>
      </c>
      <c r="D122" s="1" t="s">
        <v>31</v>
      </c>
      <c r="E122">
        <v>257</v>
      </c>
      <c r="F122">
        <v>3641.05</v>
      </c>
      <c r="G122">
        <v>850</v>
      </c>
      <c r="H122" s="4">
        <v>1.4319999999999999E-2</v>
      </c>
      <c r="I122" s="3">
        <v>5.058E-2</v>
      </c>
      <c r="J122" s="3">
        <v>3.1130000000000001E-2</v>
      </c>
      <c r="K122">
        <v>22.92</v>
      </c>
      <c r="L122">
        <v>4.2699999999999996</v>
      </c>
      <c r="M122">
        <v>36.08</v>
      </c>
      <c r="N122">
        <v>7.0040000000000005E-2</v>
      </c>
      <c r="O122" s="5">
        <v>7.0680482261600002</v>
      </c>
      <c r="P122" s="6">
        <v>53</v>
      </c>
      <c r="Q122" s="1" t="s">
        <v>65</v>
      </c>
      <c r="R122" s="1" t="s">
        <v>168</v>
      </c>
      <c r="S122" s="7" cm="1">
        <f t="array" ref="S122">_xlfn.SWITCH(tblSMB[[#This Row],[segment]],
"At Risk",1,
"Ops Constrained",2,
"Ad Inefficient",3,
"High Potential",4,
"Core",5,99)</f>
        <v>3</v>
      </c>
      <c r="T122" s="7" t="str" cm="1">
        <f t="array" ref="T122">_xlfn.SWITCH(tblSMB[[#This Row],[segment]],
"At Risk","48 hours",
"Ops Constrained","72 hours",
"Ad Inefficient","1 week",
"High Potential","1 week",
"Core","2 weeks","")</f>
        <v>1 week</v>
      </c>
      <c r="U122" s="9" t="str">
        <f>IF(AND(tblSMB[[#This Row],[segment]]&lt;&gt;"Ad Inefficient",tblSMB[[#This Row],[roas]]&lt;10),"Check: Low ROAS not flagged","")</f>
        <v/>
      </c>
      <c r="V122" s="10" t="s">
        <v>169</v>
      </c>
      <c r="W122" s="10" t="s">
        <v>170</v>
      </c>
      <c r="X122" s="10" t="s">
        <v>171</v>
      </c>
      <c r="Y122" s="2"/>
      <c r="AA122" s="1"/>
    </row>
    <row r="123" spans="1:27" ht="34" x14ac:dyDescent="0.2">
      <c r="A123" s="1" t="s">
        <v>256</v>
      </c>
      <c r="B123" s="11">
        <v>46027</v>
      </c>
      <c r="C123" s="1" t="s">
        <v>273</v>
      </c>
      <c r="D123" s="1" t="s">
        <v>38</v>
      </c>
      <c r="E123">
        <v>292</v>
      </c>
      <c r="F123">
        <v>7844.87</v>
      </c>
      <c r="G123">
        <v>982</v>
      </c>
      <c r="H123" s="4">
        <v>-6.3869999999999996E-2</v>
      </c>
      <c r="I123" s="3">
        <v>4.1099999999999998E-2</v>
      </c>
      <c r="J123" s="3">
        <v>2.7400000000000001E-2</v>
      </c>
      <c r="K123">
        <v>28.11</v>
      </c>
      <c r="L123">
        <v>4.68</v>
      </c>
      <c r="M123">
        <v>113.07</v>
      </c>
      <c r="N123">
        <v>0.16780999999999999</v>
      </c>
      <c r="O123" s="5">
        <v>11.64264311488</v>
      </c>
      <c r="P123" s="6">
        <v>53</v>
      </c>
      <c r="Q123" s="1" t="s">
        <v>100</v>
      </c>
      <c r="R123" s="1" t="s">
        <v>168</v>
      </c>
      <c r="S123" s="7" cm="1">
        <f t="array" ref="S123">_xlfn.SWITCH(tblSMB[[#This Row],[segment]],
"At Risk",1,
"Ops Constrained",2,
"Ad Inefficient",3,
"High Potential",4,
"Core",5,99)</f>
        <v>3</v>
      </c>
      <c r="T123" s="7" t="str" cm="1">
        <f t="array" ref="T123">_xlfn.SWITCH(tblSMB[[#This Row],[segment]],
"At Risk","48 hours",
"Ops Constrained","72 hours",
"Ad Inefficient","1 week",
"High Potential","1 week",
"Core","2 weeks","")</f>
        <v>1 week</v>
      </c>
      <c r="U123" s="9" t="str">
        <f>IF(AND(tblSMB[[#This Row],[segment]]&lt;&gt;"Ad Inefficient",tblSMB[[#This Row],[roas]]&lt;10),"Check: Low ROAS not flagged","")</f>
        <v/>
      </c>
      <c r="V123" s="10" t="s">
        <v>169</v>
      </c>
      <c r="W123" s="10" t="s">
        <v>170</v>
      </c>
      <c r="X123" s="10" t="s">
        <v>171</v>
      </c>
      <c r="Y123" s="2"/>
      <c r="AA123" s="1"/>
    </row>
    <row r="124" spans="1:27" ht="34" x14ac:dyDescent="0.2">
      <c r="A124" s="1" t="s">
        <v>91</v>
      </c>
      <c r="B124" s="11">
        <v>46027</v>
      </c>
      <c r="C124" s="1" t="s">
        <v>53</v>
      </c>
      <c r="D124" s="1" t="s">
        <v>31</v>
      </c>
      <c r="E124">
        <v>214</v>
      </c>
      <c r="F124">
        <v>3328.45</v>
      </c>
      <c r="G124">
        <v>852</v>
      </c>
      <c r="H124" s="4">
        <v>-0.12255000000000001</v>
      </c>
      <c r="I124" s="3">
        <v>4.6730000000000001E-2</v>
      </c>
      <c r="J124" s="3">
        <v>2.3359999999999999E-2</v>
      </c>
      <c r="K124">
        <v>25.49</v>
      </c>
      <c r="L124">
        <v>4.71</v>
      </c>
      <c r="M124">
        <v>15.01</v>
      </c>
      <c r="N124">
        <v>0.10748000000000001</v>
      </c>
      <c r="O124" s="5">
        <v>23.832819120589999</v>
      </c>
      <c r="P124" s="6">
        <v>53</v>
      </c>
      <c r="Q124" s="1" t="s">
        <v>24</v>
      </c>
      <c r="R124" s="1" t="s">
        <v>25</v>
      </c>
      <c r="S124" s="7" cm="1">
        <f t="array" ref="S124">_xlfn.SWITCH(tblSMB[[#This Row],[segment]],
"At Risk",1,
"Ops Constrained",2,
"Ad Inefficient",3,
"High Potential",4,
"Core",5,99)</f>
        <v>5</v>
      </c>
      <c r="T124" s="7" t="str" cm="1">
        <f t="array" ref="T124">_xlfn.SWITCH(tblSMB[[#This Row],[segment]],
"At Risk","48 hours",
"Ops Constrained","72 hours",
"Ad Inefficient","1 week",
"High Potential","1 week",
"Core","2 weeks","")</f>
        <v>2 weeks</v>
      </c>
      <c r="U124" s="9" t="str">
        <f>IF(AND(tblSMB[[#This Row],[segment]]&lt;&gt;"Ad Inefficient",tblSMB[[#This Row],[roas]]&lt;10),"Check: Low ROAS not flagged","")</f>
        <v/>
      </c>
      <c r="V124" s="10" t="s">
        <v>26</v>
      </c>
      <c r="W124" s="10" t="s">
        <v>27</v>
      </c>
      <c r="X124" s="10" t="s">
        <v>28</v>
      </c>
      <c r="Y124" s="2"/>
      <c r="AA124" s="1"/>
    </row>
    <row r="125" spans="1:27" ht="34" x14ac:dyDescent="0.2">
      <c r="A125" s="1" t="s">
        <v>150</v>
      </c>
      <c r="B125" s="11">
        <v>46027</v>
      </c>
      <c r="C125" s="1" t="s">
        <v>57</v>
      </c>
      <c r="D125" s="1" t="s">
        <v>58</v>
      </c>
      <c r="E125">
        <v>88</v>
      </c>
      <c r="F125">
        <v>1424.33</v>
      </c>
      <c r="G125">
        <v>336</v>
      </c>
      <c r="H125" s="4">
        <v>-6.9250000000000006E-2</v>
      </c>
      <c r="I125" s="3">
        <v>3.4090000000000002E-2</v>
      </c>
      <c r="J125" s="3">
        <v>2.273E-2</v>
      </c>
      <c r="K125">
        <v>28.63</v>
      </c>
      <c r="L125">
        <v>4.47</v>
      </c>
      <c r="M125">
        <v>29.67</v>
      </c>
      <c r="N125">
        <v>0.14773</v>
      </c>
      <c r="O125" s="5">
        <v>7.0917554432100003</v>
      </c>
      <c r="P125" s="6">
        <v>53</v>
      </c>
      <c r="Q125" s="1" t="s">
        <v>100</v>
      </c>
      <c r="R125" s="1" t="s">
        <v>25</v>
      </c>
      <c r="S125" s="7" cm="1">
        <f t="array" ref="S125">_xlfn.SWITCH(tblSMB[[#This Row],[segment]],
"At Risk",1,
"Ops Constrained",2,
"Ad Inefficient",3,
"High Potential",4,
"Core",5,99)</f>
        <v>5</v>
      </c>
      <c r="T125" s="7" t="str" cm="1">
        <f t="array" ref="T125">_xlfn.SWITCH(tblSMB[[#This Row],[segment]],
"At Risk","48 hours",
"Ops Constrained","72 hours",
"Ad Inefficient","1 week",
"High Potential","1 week",
"Core","2 weeks","")</f>
        <v>2 weeks</v>
      </c>
      <c r="U125" s="9" t="str">
        <f>IF(AND(tblSMB[[#This Row],[segment]]&lt;&gt;"Ad Inefficient",tblSMB[[#This Row],[roas]]&lt;10),"Check: Low ROAS not flagged","")</f>
        <v>Check: Low ROAS not flagged</v>
      </c>
      <c r="V125" s="10" t="s">
        <v>26</v>
      </c>
      <c r="W125" s="10" t="s">
        <v>27</v>
      </c>
      <c r="X125" s="10" t="s">
        <v>28</v>
      </c>
      <c r="Y125" s="2"/>
      <c r="AA125" s="1"/>
    </row>
    <row r="126" spans="1:27" ht="34" x14ac:dyDescent="0.2">
      <c r="A126" s="1" t="s">
        <v>173</v>
      </c>
      <c r="B126" s="11">
        <v>46027</v>
      </c>
      <c r="C126" s="1" t="s">
        <v>273</v>
      </c>
      <c r="D126" s="1" t="s">
        <v>58</v>
      </c>
      <c r="E126">
        <v>149</v>
      </c>
      <c r="F126">
        <v>2859.01</v>
      </c>
      <c r="G126">
        <v>639</v>
      </c>
      <c r="H126" s="4">
        <v>-0.13414999999999999</v>
      </c>
      <c r="I126" s="3">
        <v>3.356E-2</v>
      </c>
      <c r="J126" s="3">
        <v>2.0129999999999999E-2</v>
      </c>
      <c r="K126">
        <v>29.12</v>
      </c>
      <c r="L126">
        <v>4.88</v>
      </c>
      <c r="M126">
        <v>33.65</v>
      </c>
      <c r="N126">
        <v>0.16106999999999999</v>
      </c>
      <c r="O126" s="5">
        <v>13.685339910850001</v>
      </c>
      <c r="P126" s="6">
        <v>53</v>
      </c>
      <c r="Q126" s="1" t="s">
        <v>41</v>
      </c>
      <c r="R126" s="1" t="s">
        <v>25</v>
      </c>
      <c r="S126" s="7" cm="1">
        <f t="array" ref="S126">_xlfn.SWITCH(tblSMB[[#This Row],[segment]],
"At Risk",1,
"Ops Constrained",2,
"Ad Inefficient",3,
"High Potential",4,
"Core",5,99)</f>
        <v>5</v>
      </c>
      <c r="T126" s="7" t="str" cm="1">
        <f t="array" ref="T126">_xlfn.SWITCH(tblSMB[[#This Row],[segment]],
"At Risk","48 hours",
"Ops Constrained","72 hours",
"Ad Inefficient","1 week",
"High Potential","1 week",
"Core","2 weeks","")</f>
        <v>2 weeks</v>
      </c>
      <c r="U126" s="9" t="str">
        <f>IF(AND(tblSMB[[#This Row],[segment]]&lt;&gt;"Ad Inefficient",tblSMB[[#This Row],[roas]]&lt;10),"Check: Low ROAS not flagged","")</f>
        <v/>
      </c>
      <c r="V126" s="10" t="s">
        <v>26</v>
      </c>
      <c r="W126" s="10" t="s">
        <v>27</v>
      </c>
      <c r="X126" s="10" t="s">
        <v>28</v>
      </c>
      <c r="Y126" s="2"/>
      <c r="AA126" s="1"/>
    </row>
    <row r="127" spans="1:27" ht="34" x14ac:dyDescent="0.2">
      <c r="A127" s="1" t="s">
        <v>216</v>
      </c>
      <c r="B127" s="11">
        <v>46027</v>
      </c>
      <c r="C127" s="1" t="s">
        <v>22</v>
      </c>
      <c r="D127" s="1" t="s">
        <v>38</v>
      </c>
      <c r="E127">
        <v>206</v>
      </c>
      <c r="F127">
        <v>6022.37</v>
      </c>
      <c r="G127">
        <v>820</v>
      </c>
      <c r="H127" s="4">
        <v>-8.1750000000000003E-2</v>
      </c>
      <c r="I127" s="3">
        <v>4.854E-2</v>
      </c>
      <c r="J127" s="3">
        <v>2.427E-2</v>
      </c>
      <c r="K127">
        <v>28.21</v>
      </c>
      <c r="L127">
        <v>4.74</v>
      </c>
      <c r="M127">
        <v>51.94</v>
      </c>
      <c r="N127">
        <v>0.1699</v>
      </c>
      <c r="O127" s="5">
        <v>19.700004043130001</v>
      </c>
      <c r="P127" s="6">
        <v>53</v>
      </c>
      <c r="Q127" s="1" t="s">
        <v>24</v>
      </c>
      <c r="R127" s="1" t="s">
        <v>25</v>
      </c>
      <c r="S127" s="7" cm="1">
        <f t="array" ref="S127">_xlfn.SWITCH(tblSMB[[#This Row],[segment]],
"At Risk",1,
"Ops Constrained",2,
"Ad Inefficient",3,
"High Potential",4,
"Core",5,99)</f>
        <v>5</v>
      </c>
      <c r="T127" s="7" t="str" cm="1">
        <f t="array" ref="T127">_xlfn.SWITCH(tblSMB[[#This Row],[segment]],
"At Risk","48 hours",
"Ops Constrained","72 hours",
"Ad Inefficient","1 week",
"High Potential","1 week",
"Core","2 weeks","")</f>
        <v>2 weeks</v>
      </c>
      <c r="U127" s="9" t="str">
        <f>IF(AND(tblSMB[[#This Row],[segment]]&lt;&gt;"Ad Inefficient",tblSMB[[#This Row],[roas]]&lt;10),"Check: Low ROAS not flagged","")</f>
        <v/>
      </c>
      <c r="V127" s="10" t="s">
        <v>26</v>
      </c>
      <c r="W127" s="10" t="s">
        <v>27</v>
      </c>
      <c r="X127" s="10" t="s">
        <v>28</v>
      </c>
      <c r="Y127" s="2"/>
      <c r="AA127" s="1"/>
    </row>
    <row r="128" spans="1:27" ht="34" x14ac:dyDescent="0.2">
      <c r="A128" s="1" t="s">
        <v>196</v>
      </c>
      <c r="B128" s="11">
        <v>46027</v>
      </c>
      <c r="C128" s="1" t="s">
        <v>37</v>
      </c>
      <c r="D128" s="1" t="s">
        <v>43</v>
      </c>
      <c r="E128">
        <v>146</v>
      </c>
      <c r="F128">
        <v>5051.83</v>
      </c>
      <c r="G128">
        <v>553</v>
      </c>
      <c r="H128" s="4">
        <v>3.1719999999999998E-2</v>
      </c>
      <c r="I128" s="3">
        <v>6.164E-2</v>
      </c>
      <c r="J128" s="3">
        <v>2.7400000000000001E-2</v>
      </c>
      <c r="K128">
        <v>28.47</v>
      </c>
      <c r="L128">
        <v>4.63</v>
      </c>
      <c r="M128">
        <v>41.12</v>
      </c>
      <c r="N128">
        <v>0.13699</v>
      </c>
      <c r="O128" s="5">
        <v>16.829559824899999</v>
      </c>
      <c r="P128" s="6">
        <v>54</v>
      </c>
      <c r="Q128" s="1" t="s">
        <v>44</v>
      </c>
      <c r="R128" s="1" t="s">
        <v>45</v>
      </c>
      <c r="S128" s="7" cm="1">
        <f t="array" ref="S128">_xlfn.SWITCH(tblSMB[[#This Row],[segment]],
"At Risk",1,
"Ops Constrained",2,
"Ad Inefficient",3,
"High Potential",4,
"Core",5,99)</f>
        <v>2</v>
      </c>
      <c r="T128" s="7" t="str" cm="1">
        <f t="array" ref="T128">_xlfn.SWITCH(tblSMB[[#This Row],[segment]],
"At Risk","48 hours",
"Ops Constrained","72 hours",
"Ad Inefficient","1 week",
"High Potential","1 week",
"Core","2 weeks","")</f>
        <v>72 hours</v>
      </c>
      <c r="U128" s="9" t="str">
        <f>IF(AND(tblSMB[[#This Row],[segment]]&lt;&gt;"Ad Inefficient",tblSMB[[#This Row],[roas]]&lt;10),"Check: Low ROAS not flagged","")</f>
        <v/>
      </c>
      <c r="V128" s="10" t="s">
        <v>46</v>
      </c>
      <c r="W128" s="10" t="s">
        <v>47</v>
      </c>
      <c r="X128" s="10" t="s">
        <v>48</v>
      </c>
      <c r="Y128" s="2"/>
      <c r="AA128" s="1"/>
    </row>
    <row r="129" spans="1:27" ht="34" x14ac:dyDescent="0.2">
      <c r="A129" s="1" t="s">
        <v>247</v>
      </c>
      <c r="B129" s="11">
        <v>46027</v>
      </c>
      <c r="C129" s="1" t="s">
        <v>50</v>
      </c>
      <c r="D129" s="1" t="s">
        <v>43</v>
      </c>
      <c r="E129">
        <v>273</v>
      </c>
      <c r="F129">
        <v>8185.63</v>
      </c>
      <c r="G129">
        <v>1033</v>
      </c>
      <c r="H129" s="4">
        <v>-5.4030000000000002E-2</v>
      </c>
      <c r="I129" s="3">
        <v>5.8610000000000002E-2</v>
      </c>
      <c r="J129" s="3">
        <v>1.8319999999999999E-2</v>
      </c>
      <c r="K129">
        <v>27.54</v>
      </c>
      <c r="L129">
        <v>4.6399999999999997</v>
      </c>
      <c r="M129">
        <v>80.680000000000007</v>
      </c>
      <c r="N129">
        <v>0.19414000000000001</v>
      </c>
      <c r="O129" s="5">
        <v>19.69697110808</v>
      </c>
      <c r="P129" s="6">
        <v>54</v>
      </c>
      <c r="Q129" s="1" t="s">
        <v>44</v>
      </c>
      <c r="R129" s="1" t="s">
        <v>45</v>
      </c>
      <c r="S129" s="7" cm="1">
        <f t="array" ref="S129">_xlfn.SWITCH(tblSMB[[#This Row],[segment]],
"At Risk",1,
"Ops Constrained",2,
"Ad Inefficient",3,
"High Potential",4,
"Core",5,99)</f>
        <v>2</v>
      </c>
      <c r="T129" s="7" t="str" cm="1">
        <f t="array" ref="T129">_xlfn.SWITCH(tblSMB[[#This Row],[segment]],
"At Risk","48 hours",
"Ops Constrained","72 hours",
"Ad Inefficient","1 week",
"High Potential","1 week",
"Core","2 weeks","")</f>
        <v>72 hours</v>
      </c>
      <c r="U129" s="9" t="str">
        <f>IF(AND(tblSMB[[#This Row],[segment]]&lt;&gt;"Ad Inefficient",tblSMB[[#This Row],[roas]]&lt;10),"Check: Low ROAS not flagged","")</f>
        <v/>
      </c>
      <c r="V129" s="10" t="s">
        <v>46</v>
      </c>
      <c r="W129" s="10" t="s">
        <v>47</v>
      </c>
      <c r="X129" s="10" t="s">
        <v>48</v>
      </c>
      <c r="Y129" s="2"/>
      <c r="AA129" s="1"/>
    </row>
    <row r="130" spans="1:27" ht="34" x14ac:dyDescent="0.2">
      <c r="A130" s="1" t="s">
        <v>142</v>
      </c>
      <c r="B130" s="11">
        <v>46027</v>
      </c>
      <c r="C130" s="1" t="s">
        <v>37</v>
      </c>
      <c r="D130" s="1" t="s">
        <v>58</v>
      </c>
      <c r="E130">
        <v>157</v>
      </c>
      <c r="F130">
        <v>2876.87</v>
      </c>
      <c r="G130">
        <v>609</v>
      </c>
      <c r="H130" s="4">
        <v>-0.11994</v>
      </c>
      <c r="I130" s="3">
        <v>4.4589999999999998E-2</v>
      </c>
      <c r="J130" s="3">
        <v>2.5479999999999999E-2</v>
      </c>
      <c r="K130">
        <v>22.8</v>
      </c>
      <c r="L130">
        <v>4.78</v>
      </c>
      <c r="M130">
        <v>27.19</v>
      </c>
      <c r="N130">
        <v>0.17834</v>
      </c>
      <c r="O130" s="5">
        <v>18.869892019120002</v>
      </c>
      <c r="P130" s="6">
        <v>54</v>
      </c>
      <c r="Q130" s="1" t="s">
        <v>24</v>
      </c>
      <c r="R130" s="1" t="s">
        <v>25</v>
      </c>
      <c r="S130" s="7" cm="1">
        <f t="array" ref="S130">_xlfn.SWITCH(tblSMB[[#This Row],[segment]],
"At Risk",1,
"Ops Constrained",2,
"Ad Inefficient",3,
"High Potential",4,
"Core",5,99)</f>
        <v>5</v>
      </c>
      <c r="T130" s="7" t="str" cm="1">
        <f t="array" ref="T130">_xlfn.SWITCH(tblSMB[[#This Row],[segment]],
"At Risk","48 hours",
"Ops Constrained","72 hours",
"Ad Inefficient","1 week",
"High Potential","1 week",
"Core","2 weeks","")</f>
        <v>2 weeks</v>
      </c>
      <c r="U130" s="9" t="str">
        <f>IF(AND(tblSMB[[#This Row],[segment]]&lt;&gt;"Ad Inefficient",tblSMB[[#This Row],[roas]]&lt;10),"Check: Low ROAS not flagged","")</f>
        <v/>
      </c>
      <c r="V130" s="10" t="s">
        <v>26</v>
      </c>
      <c r="W130" s="10" t="s">
        <v>27</v>
      </c>
      <c r="X130" s="10" t="s">
        <v>28</v>
      </c>
      <c r="Y130" s="2"/>
      <c r="AA130" s="1"/>
    </row>
    <row r="131" spans="1:27" ht="34" x14ac:dyDescent="0.2">
      <c r="A131" s="1" t="s">
        <v>255</v>
      </c>
      <c r="B131" s="11">
        <v>46027</v>
      </c>
      <c r="C131" s="1" t="s">
        <v>22</v>
      </c>
      <c r="D131" s="1" t="s">
        <v>38</v>
      </c>
      <c r="E131">
        <v>312</v>
      </c>
      <c r="F131">
        <v>8796.2800000000007</v>
      </c>
      <c r="G131">
        <v>1129</v>
      </c>
      <c r="H131" s="4">
        <v>-7.3069999999999996E-2</v>
      </c>
      <c r="I131" s="3">
        <v>4.8079999999999998E-2</v>
      </c>
      <c r="J131" s="3">
        <v>1.9230000000000001E-2</v>
      </c>
      <c r="K131">
        <v>32.92</v>
      </c>
      <c r="L131">
        <v>4.8099999999999996</v>
      </c>
      <c r="M131">
        <v>111.96</v>
      </c>
      <c r="N131">
        <v>0.21795</v>
      </c>
      <c r="O131" s="5">
        <v>17.123418542340001</v>
      </c>
      <c r="P131" s="6">
        <v>54</v>
      </c>
      <c r="Q131" s="1" t="s">
        <v>24</v>
      </c>
      <c r="R131" s="1" t="s">
        <v>25</v>
      </c>
      <c r="S131" s="7" cm="1">
        <f t="array" ref="S131">_xlfn.SWITCH(tblSMB[[#This Row],[segment]],
"At Risk",1,
"Ops Constrained",2,
"Ad Inefficient",3,
"High Potential",4,
"Core",5,99)</f>
        <v>5</v>
      </c>
      <c r="T131" s="7" t="str" cm="1">
        <f t="array" ref="T131">_xlfn.SWITCH(tblSMB[[#This Row],[segment]],
"At Risk","48 hours",
"Ops Constrained","72 hours",
"Ad Inefficient","1 week",
"High Potential","1 week",
"Core","2 weeks","")</f>
        <v>2 weeks</v>
      </c>
      <c r="U131" s="9" t="str">
        <f>IF(AND(tblSMB[[#This Row],[segment]]&lt;&gt;"Ad Inefficient",tblSMB[[#This Row],[roas]]&lt;10),"Check: Low ROAS not flagged","")</f>
        <v/>
      </c>
      <c r="V131" s="10" t="s">
        <v>26</v>
      </c>
      <c r="W131" s="10" t="s">
        <v>27</v>
      </c>
      <c r="X131" s="10" t="s">
        <v>28</v>
      </c>
      <c r="Y131" s="2"/>
      <c r="AA131" s="1"/>
    </row>
    <row r="132" spans="1:27" ht="34" x14ac:dyDescent="0.2">
      <c r="A132" s="1" t="s">
        <v>175</v>
      </c>
      <c r="B132" s="11">
        <v>46027</v>
      </c>
      <c r="C132" s="1" t="s">
        <v>22</v>
      </c>
      <c r="D132" s="1" t="s">
        <v>43</v>
      </c>
      <c r="E132">
        <v>271</v>
      </c>
      <c r="F132">
        <v>9884.35</v>
      </c>
      <c r="G132">
        <v>1064</v>
      </c>
      <c r="H132" s="4">
        <v>2.7029999999999998E-2</v>
      </c>
      <c r="I132" s="3">
        <v>6.6420000000000007E-2</v>
      </c>
      <c r="J132" s="3">
        <v>2.5829999999999999E-2</v>
      </c>
      <c r="K132">
        <v>32.39</v>
      </c>
      <c r="L132">
        <v>4.75</v>
      </c>
      <c r="M132">
        <v>33.67</v>
      </c>
      <c r="N132">
        <v>0.13653000000000001</v>
      </c>
      <c r="O132" s="5">
        <v>40.080896703299999</v>
      </c>
      <c r="P132" s="6">
        <v>55</v>
      </c>
      <c r="Q132" s="1" t="s">
        <v>44</v>
      </c>
      <c r="R132" s="1" t="s">
        <v>45</v>
      </c>
      <c r="S132" s="7" cm="1">
        <f t="array" ref="S132">_xlfn.SWITCH(tblSMB[[#This Row],[segment]],
"At Risk",1,
"Ops Constrained",2,
"Ad Inefficient",3,
"High Potential",4,
"Core",5,99)</f>
        <v>2</v>
      </c>
      <c r="T132" s="7" t="str" cm="1">
        <f t="array" ref="T132">_xlfn.SWITCH(tblSMB[[#This Row],[segment]],
"At Risk","48 hours",
"Ops Constrained","72 hours",
"Ad Inefficient","1 week",
"High Potential","1 week",
"Core","2 weeks","")</f>
        <v>72 hours</v>
      </c>
      <c r="U132" s="9" t="str">
        <f>IF(AND(tblSMB[[#This Row],[segment]]&lt;&gt;"Ad Inefficient",tblSMB[[#This Row],[roas]]&lt;10),"Check: Low ROAS not flagged","")</f>
        <v/>
      </c>
      <c r="V132" s="10" t="s">
        <v>46</v>
      </c>
      <c r="W132" s="10" t="s">
        <v>47</v>
      </c>
      <c r="X132" s="10" t="s">
        <v>48</v>
      </c>
      <c r="Y132" s="2"/>
      <c r="AA132" s="1"/>
    </row>
    <row r="133" spans="1:27" ht="34" x14ac:dyDescent="0.2">
      <c r="A133" s="1" t="s">
        <v>236</v>
      </c>
      <c r="B133" s="11">
        <v>46027</v>
      </c>
      <c r="C133" s="1" t="s">
        <v>53</v>
      </c>
      <c r="D133" s="1" t="s">
        <v>54</v>
      </c>
      <c r="E133">
        <v>212</v>
      </c>
      <c r="F133">
        <v>9869.1299999999992</v>
      </c>
      <c r="G133">
        <v>790</v>
      </c>
      <c r="H133" s="4">
        <v>6.3699999999999998E-3</v>
      </c>
      <c r="I133" s="3">
        <v>5.1889999999999999E-2</v>
      </c>
      <c r="J133" s="3">
        <v>2.358E-2</v>
      </c>
      <c r="K133">
        <v>43.24</v>
      </c>
      <c r="L133">
        <v>4.79</v>
      </c>
      <c r="M133">
        <v>63.01</v>
      </c>
      <c r="N133">
        <v>0.12264</v>
      </c>
      <c r="O133" s="5">
        <v>19.209093794640001</v>
      </c>
      <c r="P133" s="6">
        <v>55</v>
      </c>
      <c r="Q133" s="1" t="s">
        <v>55</v>
      </c>
      <c r="R133" s="1" t="s">
        <v>45</v>
      </c>
      <c r="S133" s="7" cm="1">
        <f t="array" ref="S133">_xlfn.SWITCH(tblSMB[[#This Row],[segment]],
"At Risk",1,
"Ops Constrained",2,
"Ad Inefficient",3,
"High Potential",4,
"Core",5,99)</f>
        <v>2</v>
      </c>
      <c r="T133" s="7" t="str" cm="1">
        <f t="array" ref="T133">_xlfn.SWITCH(tblSMB[[#This Row],[segment]],
"At Risk","48 hours",
"Ops Constrained","72 hours",
"Ad Inefficient","1 week",
"High Potential","1 week",
"Core","2 weeks","")</f>
        <v>72 hours</v>
      </c>
      <c r="U133" s="9" t="str">
        <f>IF(AND(tblSMB[[#This Row],[segment]]&lt;&gt;"Ad Inefficient",tblSMB[[#This Row],[roas]]&lt;10),"Check: Low ROAS not flagged","")</f>
        <v/>
      </c>
      <c r="V133" s="10" t="s">
        <v>46</v>
      </c>
      <c r="W133" s="10" t="s">
        <v>47</v>
      </c>
      <c r="X133" s="10" t="s">
        <v>48</v>
      </c>
      <c r="Y133" s="2"/>
      <c r="AA133" s="1"/>
    </row>
    <row r="134" spans="1:27" ht="34" x14ac:dyDescent="0.2">
      <c r="A134" s="1" t="s">
        <v>63</v>
      </c>
      <c r="B134" s="11">
        <v>46027</v>
      </c>
      <c r="C134" s="1" t="s">
        <v>57</v>
      </c>
      <c r="D134" s="1" t="s">
        <v>58</v>
      </c>
      <c r="E134">
        <v>93</v>
      </c>
      <c r="F134">
        <v>1836.71</v>
      </c>
      <c r="G134">
        <v>383</v>
      </c>
      <c r="H134" s="4">
        <v>-0.14318</v>
      </c>
      <c r="I134" s="3">
        <v>3.2259999999999997E-2</v>
      </c>
      <c r="J134" s="3">
        <v>2.1510000000000001E-2</v>
      </c>
      <c r="K134">
        <v>25.48</v>
      </c>
      <c r="L134">
        <v>4.9400000000000004</v>
      </c>
      <c r="M134">
        <v>10.42</v>
      </c>
      <c r="N134">
        <v>7.5270000000000004E-2</v>
      </c>
      <c r="O134" s="5">
        <v>13.26746545106</v>
      </c>
      <c r="P134" s="6">
        <v>55</v>
      </c>
      <c r="Q134" s="1" t="s">
        <v>41</v>
      </c>
      <c r="R134" s="1" t="s">
        <v>32</v>
      </c>
      <c r="S134" s="7" cm="1">
        <f t="array" ref="S134">_xlfn.SWITCH(tblSMB[[#This Row],[segment]],
"At Risk",1,
"Ops Constrained",2,
"Ad Inefficient",3,
"High Potential",4,
"Core",5,99)</f>
        <v>4</v>
      </c>
      <c r="T134" s="7" t="str" cm="1">
        <f t="array" ref="T134">_xlfn.SWITCH(tblSMB[[#This Row],[segment]],
"At Risk","48 hours",
"Ops Constrained","72 hours",
"Ad Inefficient","1 week",
"High Potential","1 week",
"Core","2 weeks","")</f>
        <v>1 week</v>
      </c>
      <c r="U134" s="9" t="str">
        <f>IF(AND(tblSMB[[#This Row],[segment]]&lt;&gt;"Ad Inefficient",tblSMB[[#This Row],[roas]]&lt;10),"Check: Low ROAS not flagged","")</f>
        <v/>
      </c>
      <c r="V134" s="10" t="s">
        <v>33</v>
      </c>
      <c r="W134" s="10" t="s">
        <v>34</v>
      </c>
      <c r="X134" s="10" t="s">
        <v>35</v>
      </c>
      <c r="Y134" s="2"/>
      <c r="AA134" s="1"/>
    </row>
    <row r="135" spans="1:27" ht="34" x14ac:dyDescent="0.2">
      <c r="A135" s="1" t="s">
        <v>128</v>
      </c>
      <c r="B135" s="11">
        <v>46027</v>
      </c>
      <c r="C135" s="1" t="s">
        <v>30</v>
      </c>
      <c r="D135" s="1" t="s">
        <v>23</v>
      </c>
      <c r="E135">
        <v>288</v>
      </c>
      <c r="F135">
        <v>5678.32</v>
      </c>
      <c r="G135">
        <v>957</v>
      </c>
      <c r="H135" s="4">
        <v>-0.12121</v>
      </c>
      <c r="I135" s="3">
        <v>3.8190000000000002E-2</v>
      </c>
      <c r="J135" s="3">
        <v>1.736E-2</v>
      </c>
      <c r="K135">
        <v>29.93</v>
      </c>
      <c r="L135">
        <v>4.6100000000000003</v>
      </c>
      <c r="M135">
        <v>24.38</v>
      </c>
      <c r="N135">
        <v>0.10764</v>
      </c>
      <c r="O135" s="5">
        <v>25.07005984413</v>
      </c>
      <c r="P135" s="6">
        <v>55</v>
      </c>
      <c r="Q135" s="1" t="s">
        <v>24</v>
      </c>
      <c r="R135" s="1" t="s">
        <v>25</v>
      </c>
      <c r="S135" s="7" cm="1">
        <f t="array" ref="S135">_xlfn.SWITCH(tblSMB[[#This Row],[segment]],
"At Risk",1,
"Ops Constrained",2,
"Ad Inefficient",3,
"High Potential",4,
"Core",5,99)</f>
        <v>5</v>
      </c>
      <c r="T135" s="7" t="str" cm="1">
        <f t="array" ref="T135">_xlfn.SWITCH(tblSMB[[#This Row],[segment]],
"At Risk","48 hours",
"Ops Constrained","72 hours",
"Ad Inefficient","1 week",
"High Potential","1 week",
"Core","2 weeks","")</f>
        <v>2 weeks</v>
      </c>
      <c r="U135" s="9" t="str">
        <f>IF(AND(tblSMB[[#This Row],[segment]]&lt;&gt;"Ad Inefficient",tblSMB[[#This Row],[roas]]&lt;10),"Check: Low ROAS not flagged","")</f>
        <v/>
      </c>
      <c r="V135" s="10" t="s">
        <v>26</v>
      </c>
      <c r="W135" s="10" t="s">
        <v>27</v>
      </c>
      <c r="X135" s="10" t="s">
        <v>28</v>
      </c>
      <c r="Y135" s="2"/>
      <c r="AA135" s="1"/>
    </row>
    <row r="136" spans="1:27" ht="34" x14ac:dyDescent="0.2">
      <c r="A136" s="1" t="s">
        <v>108</v>
      </c>
      <c r="B136" s="11">
        <v>46027</v>
      </c>
      <c r="C136" s="1" t="s">
        <v>50</v>
      </c>
      <c r="D136" s="1" t="s">
        <v>38</v>
      </c>
      <c r="E136">
        <v>121</v>
      </c>
      <c r="F136">
        <v>2955.01</v>
      </c>
      <c r="G136">
        <v>508</v>
      </c>
      <c r="H136" s="4">
        <v>3.4619999999999998E-2</v>
      </c>
      <c r="I136" s="3">
        <v>4.9590000000000002E-2</v>
      </c>
      <c r="J136" s="3">
        <v>2.479E-2</v>
      </c>
      <c r="K136">
        <v>37.14</v>
      </c>
      <c r="L136">
        <v>4.3099999999999996</v>
      </c>
      <c r="M136">
        <v>18.57</v>
      </c>
      <c r="N136">
        <v>0.14050000000000001</v>
      </c>
      <c r="O136" s="5">
        <v>22.356849219170002</v>
      </c>
      <c r="P136" s="6">
        <v>56</v>
      </c>
      <c r="Q136" s="1" t="s">
        <v>55</v>
      </c>
      <c r="R136" s="1" t="s">
        <v>45</v>
      </c>
      <c r="S136" s="7" cm="1">
        <f t="array" ref="S136">_xlfn.SWITCH(tblSMB[[#This Row],[segment]],
"At Risk",1,
"Ops Constrained",2,
"Ad Inefficient",3,
"High Potential",4,
"Core",5,99)</f>
        <v>2</v>
      </c>
      <c r="T136" s="7" t="str" cm="1">
        <f t="array" ref="T136">_xlfn.SWITCH(tblSMB[[#This Row],[segment]],
"At Risk","48 hours",
"Ops Constrained","72 hours",
"Ad Inefficient","1 week",
"High Potential","1 week",
"Core","2 weeks","")</f>
        <v>72 hours</v>
      </c>
      <c r="U136" s="9" t="str">
        <f>IF(AND(tblSMB[[#This Row],[segment]]&lt;&gt;"Ad Inefficient",tblSMB[[#This Row],[roas]]&lt;10),"Check: Low ROAS not flagged","")</f>
        <v/>
      </c>
      <c r="V136" s="10" t="s">
        <v>46</v>
      </c>
      <c r="W136" s="10" t="s">
        <v>47</v>
      </c>
      <c r="X136" s="10" t="s">
        <v>48</v>
      </c>
      <c r="Y136" s="2"/>
      <c r="AA136" s="1"/>
    </row>
    <row r="137" spans="1:27" ht="34" x14ac:dyDescent="0.2">
      <c r="A137" s="1" t="s">
        <v>204</v>
      </c>
      <c r="B137" s="11">
        <v>46027</v>
      </c>
      <c r="C137" s="1" t="s">
        <v>57</v>
      </c>
      <c r="D137" s="1" t="s">
        <v>43</v>
      </c>
      <c r="E137">
        <v>173</v>
      </c>
      <c r="F137">
        <v>6220.25</v>
      </c>
      <c r="G137">
        <v>633</v>
      </c>
      <c r="H137" s="4">
        <v>-4.5249999999999999E-2</v>
      </c>
      <c r="I137" s="3">
        <v>6.9360000000000005E-2</v>
      </c>
      <c r="J137" s="3">
        <v>2.3120000000000002E-2</v>
      </c>
      <c r="K137">
        <v>23.69</v>
      </c>
      <c r="L137">
        <v>4.76</v>
      </c>
      <c r="M137">
        <v>45.36</v>
      </c>
      <c r="N137">
        <v>0.19653000000000001</v>
      </c>
      <c r="O137" s="5">
        <v>26.95054823633</v>
      </c>
      <c r="P137" s="6">
        <v>56</v>
      </c>
      <c r="Q137" s="1" t="s">
        <v>44</v>
      </c>
      <c r="R137" s="1" t="s">
        <v>45</v>
      </c>
      <c r="S137" s="7" cm="1">
        <f t="array" ref="S137">_xlfn.SWITCH(tblSMB[[#This Row],[segment]],
"At Risk",1,
"Ops Constrained",2,
"Ad Inefficient",3,
"High Potential",4,
"Core",5,99)</f>
        <v>2</v>
      </c>
      <c r="T137" s="7" t="str" cm="1">
        <f t="array" ref="T137">_xlfn.SWITCH(tblSMB[[#This Row],[segment]],
"At Risk","48 hours",
"Ops Constrained","72 hours",
"Ad Inefficient","1 week",
"High Potential","1 week",
"Core","2 weeks","")</f>
        <v>72 hours</v>
      </c>
      <c r="U137" s="9" t="str">
        <f>IF(AND(tblSMB[[#This Row],[segment]]&lt;&gt;"Ad Inefficient",tblSMB[[#This Row],[roas]]&lt;10),"Check: Low ROAS not flagged","")</f>
        <v/>
      </c>
      <c r="V137" s="10" t="s">
        <v>46</v>
      </c>
      <c r="W137" s="10" t="s">
        <v>47</v>
      </c>
      <c r="X137" s="10" t="s">
        <v>48</v>
      </c>
      <c r="Y137" s="2"/>
      <c r="AA137" s="1"/>
    </row>
    <row r="138" spans="1:27" ht="34" x14ac:dyDescent="0.2">
      <c r="A138" s="1" t="s">
        <v>248</v>
      </c>
      <c r="B138" s="11">
        <v>46027</v>
      </c>
      <c r="C138" s="1" t="s">
        <v>273</v>
      </c>
      <c r="D138" s="1" t="s">
        <v>58</v>
      </c>
      <c r="E138">
        <v>274</v>
      </c>
      <c r="F138">
        <v>4835.83</v>
      </c>
      <c r="G138">
        <v>987</v>
      </c>
      <c r="H138" s="4">
        <v>-6.268E-2</v>
      </c>
      <c r="I138" s="3">
        <v>5.1090000000000003E-2</v>
      </c>
      <c r="J138" s="3">
        <v>2.1899999999999999E-2</v>
      </c>
      <c r="K138">
        <v>23.51</v>
      </c>
      <c r="L138">
        <v>4.67</v>
      </c>
      <c r="M138">
        <v>82.29</v>
      </c>
      <c r="N138">
        <v>0.21898000000000001</v>
      </c>
      <c r="O138" s="5">
        <v>12.868403208169999</v>
      </c>
      <c r="P138" s="6">
        <v>56</v>
      </c>
      <c r="Q138" s="1" t="s">
        <v>24</v>
      </c>
      <c r="R138" s="1" t="s">
        <v>168</v>
      </c>
      <c r="S138" s="7" cm="1">
        <f t="array" ref="S138">_xlfn.SWITCH(tblSMB[[#This Row],[segment]],
"At Risk",1,
"Ops Constrained",2,
"Ad Inefficient",3,
"High Potential",4,
"Core",5,99)</f>
        <v>3</v>
      </c>
      <c r="T138" s="7" t="str" cm="1">
        <f t="array" ref="T138">_xlfn.SWITCH(tblSMB[[#This Row],[segment]],
"At Risk","48 hours",
"Ops Constrained","72 hours",
"Ad Inefficient","1 week",
"High Potential","1 week",
"Core","2 weeks","")</f>
        <v>1 week</v>
      </c>
      <c r="U138" s="9" t="str">
        <f>IF(AND(tblSMB[[#This Row],[segment]]&lt;&gt;"Ad Inefficient",tblSMB[[#This Row],[roas]]&lt;10),"Check: Low ROAS not flagged","")</f>
        <v/>
      </c>
      <c r="V138" s="10" t="s">
        <v>169</v>
      </c>
      <c r="W138" s="10" t="s">
        <v>170</v>
      </c>
      <c r="X138" s="10" t="s">
        <v>171</v>
      </c>
      <c r="Y138" s="2"/>
      <c r="AA138" s="1"/>
    </row>
    <row r="139" spans="1:27" ht="34" x14ac:dyDescent="0.2">
      <c r="A139" s="1" t="s">
        <v>125</v>
      </c>
      <c r="B139" s="11">
        <v>46027</v>
      </c>
      <c r="C139" s="1" t="s">
        <v>68</v>
      </c>
      <c r="D139" s="1" t="s">
        <v>23</v>
      </c>
      <c r="E139">
        <v>127</v>
      </c>
      <c r="F139">
        <v>3130.96</v>
      </c>
      <c r="G139">
        <v>538</v>
      </c>
      <c r="H139" s="4">
        <v>-0.10631</v>
      </c>
      <c r="I139" s="3">
        <v>3.9370000000000002E-2</v>
      </c>
      <c r="J139" s="3">
        <v>2.3619999999999999E-2</v>
      </c>
      <c r="K139">
        <v>27.46</v>
      </c>
      <c r="L139">
        <v>4.8899999999999997</v>
      </c>
      <c r="M139">
        <v>23.18</v>
      </c>
      <c r="N139">
        <v>0.11024</v>
      </c>
      <c r="O139" s="5">
        <v>14.88978395168</v>
      </c>
      <c r="P139" s="6">
        <v>56</v>
      </c>
      <c r="Q139" s="1" t="s">
        <v>24</v>
      </c>
      <c r="R139" s="1" t="s">
        <v>32</v>
      </c>
      <c r="S139" s="7" cm="1">
        <f t="array" ref="S139">_xlfn.SWITCH(tblSMB[[#This Row],[segment]],
"At Risk",1,
"Ops Constrained",2,
"Ad Inefficient",3,
"High Potential",4,
"Core",5,99)</f>
        <v>4</v>
      </c>
      <c r="T139" s="7" t="str" cm="1">
        <f t="array" ref="T139">_xlfn.SWITCH(tblSMB[[#This Row],[segment]],
"At Risk","48 hours",
"Ops Constrained","72 hours",
"Ad Inefficient","1 week",
"High Potential","1 week",
"Core","2 weeks","")</f>
        <v>1 week</v>
      </c>
      <c r="U139" s="9" t="str">
        <f>IF(AND(tblSMB[[#This Row],[segment]]&lt;&gt;"Ad Inefficient",tblSMB[[#This Row],[roas]]&lt;10),"Check: Low ROAS not flagged","")</f>
        <v/>
      </c>
      <c r="V139" s="10" t="s">
        <v>33</v>
      </c>
      <c r="W139" s="10" t="s">
        <v>34</v>
      </c>
      <c r="X139" s="10" t="s">
        <v>35</v>
      </c>
      <c r="Y139" s="2"/>
      <c r="AA139" s="1"/>
    </row>
    <row r="140" spans="1:27" ht="34" x14ac:dyDescent="0.2">
      <c r="A140" s="1" t="s">
        <v>107</v>
      </c>
      <c r="B140" s="11">
        <v>46027</v>
      </c>
      <c r="C140" s="1" t="s">
        <v>50</v>
      </c>
      <c r="D140" s="1" t="s">
        <v>43</v>
      </c>
      <c r="E140">
        <v>97</v>
      </c>
      <c r="F140">
        <v>2832.09</v>
      </c>
      <c r="G140">
        <v>367</v>
      </c>
      <c r="H140" s="4">
        <v>-0.10488</v>
      </c>
      <c r="I140" s="3">
        <v>5.1549999999999999E-2</v>
      </c>
      <c r="J140" s="3">
        <v>2.0619999999999999E-2</v>
      </c>
      <c r="K140">
        <v>21.46</v>
      </c>
      <c r="L140">
        <v>4.62</v>
      </c>
      <c r="M140">
        <v>18.39</v>
      </c>
      <c r="N140">
        <v>0.15464</v>
      </c>
      <c r="O140" s="5">
        <v>23.814685154980001</v>
      </c>
      <c r="P140" s="6">
        <v>56</v>
      </c>
      <c r="Q140" s="1" t="s">
        <v>24</v>
      </c>
      <c r="R140" s="1" t="s">
        <v>25</v>
      </c>
      <c r="S140" s="7" cm="1">
        <f t="array" ref="S140">_xlfn.SWITCH(tblSMB[[#This Row],[segment]],
"At Risk",1,
"Ops Constrained",2,
"Ad Inefficient",3,
"High Potential",4,
"Core",5,99)</f>
        <v>5</v>
      </c>
      <c r="T140" s="7" t="str" cm="1">
        <f t="array" ref="T140">_xlfn.SWITCH(tblSMB[[#This Row],[segment]],
"At Risk","48 hours",
"Ops Constrained","72 hours",
"Ad Inefficient","1 week",
"High Potential","1 week",
"Core","2 weeks","")</f>
        <v>2 weeks</v>
      </c>
      <c r="U140" s="9" t="str">
        <f>IF(AND(tblSMB[[#This Row],[segment]]&lt;&gt;"Ad Inefficient",tblSMB[[#This Row],[roas]]&lt;10),"Check: Low ROAS not flagged","")</f>
        <v/>
      </c>
      <c r="V140" s="10" t="s">
        <v>26</v>
      </c>
      <c r="W140" s="10" t="s">
        <v>27</v>
      </c>
      <c r="X140" s="10" t="s">
        <v>28</v>
      </c>
      <c r="Y140" s="2"/>
      <c r="AA140" s="1"/>
    </row>
    <row r="141" spans="1:27" ht="34" x14ac:dyDescent="0.2">
      <c r="A141" s="1" t="s">
        <v>213</v>
      </c>
      <c r="B141" s="11">
        <v>46027</v>
      </c>
      <c r="C141" s="1" t="s">
        <v>22</v>
      </c>
      <c r="D141" s="1" t="s">
        <v>38</v>
      </c>
      <c r="E141">
        <v>172</v>
      </c>
      <c r="F141">
        <v>4969.1499999999996</v>
      </c>
      <c r="G141">
        <v>688</v>
      </c>
      <c r="H141" s="4">
        <v>-8.8739999999999999E-2</v>
      </c>
      <c r="I141" s="3">
        <v>5.2330000000000002E-2</v>
      </c>
      <c r="J141" s="3">
        <v>1.7440000000000001E-2</v>
      </c>
      <c r="K141">
        <v>27.73</v>
      </c>
      <c r="L141">
        <v>4.76</v>
      </c>
      <c r="M141">
        <v>48.18</v>
      </c>
      <c r="N141">
        <v>0.23255999999999999</v>
      </c>
      <c r="O141" s="5">
        <v>23.985393939390001</v>
      </c>
      <c r="P141" s="6">
        <v>56</v>
      </c>
      <c r="Q141" s="1" t="s">
        <v>24</v>
      </c>
      <c r="R141" s="1" t="s">
        <v>25</v>
      </c>
      <c r="S141" s="7" cm="1">
        <f t="array" ref="S141">_xlfn.SWITCH(tblSMB[[#This Row],[segment]],
"At Risk",1,
"Ops Constrained",2,
"Ad Inefficient",3,
"High Potential",4,
"Core",5,99)</f>
        <v>5</v>
      </c>
      <c r="T141" s="7" t="str" cm="1">
        <f t="array" ref="T141">_xlfn.SWITCH(tblSMB[[#This Row],[segment]],
"At Risk","48 hours",
"Ops Constrained","72 hours",
"Ad Inefficient","1 week",
"High Potential","1 week",
"Core","2 weeks","")</f>
        <v>2 weeks</v>
      </c>
      <c r="U141" s="9" t="str">
        <f>IF(AND(tblSMB[[#This Row],[segment]]&lt;&gt;"Ad Inefficient",tblSMB[[#This Row],[roas]]&lt;10),"Check: Low ROAS not flagged","")</f>
        <v/>
      </c>
      <c r="V141" s="10" t="s">
        <v>26</v>
      </c>
      <c r="W141" s="10" t="s">
        <v>27</v>
      </c>
      <c r="X141" s="10" t="s">
        <v>28</v>
      </c>
      <c r="Y141" s="2"/>
      <c r="AA141" s="1"/>
    </row>
    <row r="142" spans="1:27" ht="34" x14ac:dyDescent="0.2">
      <c r="A142" s="1" t="s">
        <v>71</v>
      </c>
      <c r="B142" s="11">
        <v>46027</v>
      </c>
      <c r="C142" s="1" t="s">
        <v>68</v>
      </c>
      <c r="D142" s="1" t="s">
        <v>23</v>
      </c>
      <c r="E142">
        <v>240</v>
      </c>
      <c r="F142">
        <v>5546.11</v>
      </c>
      <c r="G142">
        <v>966</v>
      </c>
      <c r="H142" s="4">
        <v>-0.22409999999999999</v>
      </c>
      <c r="I142" s="3">
        <v>3.7499999999999999E-2</v>
      </c>
      <c r="J142" s="3">
        <v>2.5000000000000001E-2</v>
      </c>
      <c r="K142">
        <v>22.51</v>
      </c>
      <c r="L142">
        <v>4.93</v>
      </c>
      <c r="M142">
        <v>11.14</v>
      </c>
      <c r="N142">
        <v>0.12083000000000001</v>
      </c>
      <c r="O142" s="5">
        <v>60.157537522440002</v>
      </c>
      <c r="P142" s="6">
        <v>57</v>
      </c>
      <c r="Q142" s="1" t="s">
        <v>41</v>
      </c>
      <c r="R142" s="1" t="s">
        <v>32</v>
      </c>
      <c r="S142" s="7" cm="1">
        <f t="array" ref="S142">_xlfn.SWITCH(tblSMB[[#This Row],[segment]],
"At Risk",1,
"Ops Constrained",2,
"Ad Inefficient",3,
"High Potential",4,
"Core",5,99)</f>
        <v>4</v>
      </c>
      <c r="T142" s="7" t="str" cm="1">
        <f t="array" ref="T142">_xlfn.SWITCH(tblSMB[[#This Row],[segment]],
"At Risk","48 hours",
"Ops Constrained","72 hours",
"Ad Inefficient","1 week",
"High Potential","1 week",
"Core","2 weeks","")</f>
        <v>1 week</v>
      </c>
      <c r="U142" s="9" t="str">
        <f>IF(AND(tblSMB[[#This Row],[segment]]&lt;&gt;"Ad Inefficient",tblSMB[[#This Row],[roas]]&lt;10),"Check: Low ROAS not flagged","")</f>
        <v/>
      </c>
      <c r="V142" s="10" t="s">
        <v>33</v>
      </c>
      <c r="W142" s="10" t="s">
        <v>34</v>
      </c>
      <c r="X142" s="10" t="s">
        <v>35</v>
      </c>
      <c r="Y142" s="2"/>
      <c r="AA142" s="1"/>
    </row>
    <row r="143" spans="1:27" ht="34" x14ac:dyDescent="0.2">
      <c r="A143" s="1" t="s">
        <v>124</v>
      </c>
      <c r="B143" s="11">
        <v>46027</v>
      </c>
      <c r="C143" s="1" t="s">
        <v>57</v>
      </c>
      <c r="D143" s="1" t="s">
        <v>58</v>
      </c>
      <c r="E143">
        <v>188</v>
      </c>
      <c r="F143">
        <v>2952.54</v>
      </c>
      <c r="G143">
        <v>646</v>
      </c>
      <c r="H143" s="4">
        <v>-0.16428999999999999</v>
      </c>
      <c r="I143" s="3">
        <v>2.128E-2</v>
      </c>
      <c r="J143" s="3">
        <v>1.5959999999999998E-2</v>
      </c>
      <c r="K143">
        <v>22.13</v>
      </c>
      <c r="L143">
        <v>4.72</v>
      </c>
      <c r="M143">
        <v>23.1</v>
      </c>
      <c r="N143">
        <v>7.979E-2</v>
      </c>
      <c r="O143" s="5">
        <v>10.198051948050001</v>
      </c>
      <c r="P143" s="6">
        <v>57</v>
      </c>
      <c r="Q143" s="1" t="s">
        <v>100</v>
      </c>
      <c r="R143" s="1" t="s">
        <v>25</v>
      </c>
      <c r="S143" s="7" cm="1">
        <f t="array" ref="S143">_xlfn.SWITCH(tblSMB[[#This Row],[segment]],
"At Risk",1,
"Ops Constrained",2,
"Ad Inefficient",3,
"High Potential",4,
"Core",5,99)</f>
        <v>5</v>
      </c>
      <c r="T143" s="7" t="str" cm="1">
        <f t="array" ref="T143">_xlfn.SWITCH(tblSMB[[#This Row],[segment]],
"At Risk","48 hours",
"Ops Constrained","72 hours",
"Ad Inefficient","1 week",
"High Potential","1 week",
"Core","2 weeks","")</f>
        <v>2 weeks</v>
      </c>
      <c r="U143" s="9" t="str">
        <f>IF(AND(tblSMB[[#This Row],[segment]]&lt;&gt;"Ad Inefficient",tblSMB[[#This Row],[roas]]&lt;10),"Check: Low ROAS not flagged","")</f>
        <v/>
      </c>
      <c r="V143" s="10" t="s">
        <v>26</v>
      </c>
      <c r="W143" s="10" t="s">
        <v>27</v>
      </c>
      <c r="X143" s="10" t="s">
        <v>28</v>
      </c>
      <c r="Y143" s="2"/>
      <c r="AA143" s="1"/>
    </row>
    <row r="144" spans="1:27" ht="34" x14ac:dyDescent="0.2">
      <c r="A144" s="1" t="s">
        <v>72</v>
      </c>
      <c r="B144" s="11">
        <v>46027</v>
      </c>
      <c r="C144" s="1" t="s">
        <v>40</v>
      </c>
      <c r="D144" s="1" t="s">
        <v>23</v>
      </c>
      <c r="E144">
        <v>187</v>
      </c>
      <c r="F144">
        <v>4641</v>
      </c>
      <c r="G144">
        <v>701</v>
      </c>
      <c r="H144" s="4">
        <v>6.6970000000000002E-2</v>
      </c>
      <c r="I144" s="3">
        <v>6.4170000000000005E-2</v>
      </c>
      <c r="J144" s="3">
        <v>3.209E-2</v>
      </c>
      <c r="K144">
        <v>27.98</v>
      </c>
      <c r="L144">
        <v>4.66</v>
      </c>
      <c r="M144">
        <v>11.16</v>
      </c>
      <c r="N144">
        <v>0.12834000000000001</v>
      </c>
      <c r="O144" s="5">
        <v>53.3724344086</v>
      </c>
      <c r="P144" s="6">
        <v>58</v>
      </c>
      <c r="Q144" s="1" t="s">
        <v>44</v>
      </c>
      <c r="R144" s="1" t="s">
        <v>45</v>
      </c>
      <c r="S144" s="7" cm="1">
        <f t="array" ref="S144">_xlfn.SWITCH(tblSMB[[#This Row],[segment]],
"At Risk",1,
"Ops Constrained",2,
"Ad Inefficient",3,
"High Potential",4,
"Core",5,99)</f>
        <v>2</v>
      </c>
      <c r="T144" s="7" t="str" cm="1">
        <f t="array" ref="T144">_xlfn.SWITCH(tblSMB[[#This Row],[segment]],
"At Risk","48 hours",
"Ops Constrained","72 hours",
"Ad Inefficient","1 week",
"High Potential","1 week",
"Core","2 weeks","")</f>
        <v>72 hours</v>
      </c>
      <c r="U144" s="9" t="str">
        <f>IF(AND(tblSMB[[#This Row],[segment]]&lt;&gt;"Ad Inefficient",tblSMB[[#This Row],[roas]]&lt;10),"Check: Low ROAS not flagged","")</f>
        <v/>
      </c>
      <c r="V144" s="10" t="s">
        <v>46</v>
      </c>
      <c r="W144" s="10" t="s">
        <v>47</v>
      </c>
      <c r="X144" s="10" t="s">
        <v>48</v>
      </c>
      <c r="Y144" s="2"/>
      <c r="AA144" s="1"/>
    </row>
    <row r="145" spans="1:27" ht="34" x14ac:dyDescent="0.2">
      <c r="A145" s="1" t="s">
        <v>136</v>
      </c>
      <c r="B145" s="11">
        <v>46027</v>
      </c>
      <c r="C145" s="1" t="s">
        <v>68</v>
      </c>
      <c r="D145" s="1" t="s">
        <v>54</v>
      </c>
      <c r="E145">
        <v>170</v>
      </c>
      <c r="F145">
        <v>6631.02</v>
      </c>
      <c r="G145">
        <v>661</v>
      </c>
      <c r="H145" s="4">
        <v>-4.0640000000000003E-2</v>
      </c>
      <c r="I145" s="3">
        <v>4.7059999999999998E-2</v>
      </c>
      <c r="J145" s="3">
        <v>1.7649999999999999E-2</v>
      </c>
      <c r="K145">
        <v>42.75</v>
      </c>
      <c r="L145">
        <v>4.59</v>
      </c>
      <c r="M145">
        <v>26.05</v>
      </c>
      <c r="N145">
        <v>0.1</v>
      </c>
      <c r="O145" s="5">
        <v>25.454971209210001</v>
      </c>
      <c r="P145" s="6">
        <v>58</v>
      </c>
      <c r="Q145" s="1" t="s">
        <v>55</v>
      </c>
      <c r="R145" s="1" t="s">
        <v>45</v>
      </c>
      <c r="S145" s="7" cm="1">
        <f t="array" ref="S145">_xlfn.SWITCH(tblSMB[[#This Row],[segment]],
"At Risk",1,
"Ops Constrained",2,
"Ad Inefficient",3,
"High Potential",4,
"Core",5,99)</f>
        <v>2</v>
      </c>
      <c r="T145" s="7" t="str" cm="1">
        <f t="array" ref="T145">_xlfn.SWITCH(tblSMB[[#This Row],[segment]],
"At Risk","48 hours",
"Ops Constrained","72 hours",
"Ad Inefficient","1 week",
"High Potential","1 week",
"Core","2 weeks","")</f>
        <v>72 hours</v>
      </c>
      <c r="U145" s="9" t="str">
        <f>IF(AND(tblSMB[[#This Row],[segment]]&lt;&gt;"Ad Inefficient",tblSMB[[#This Row],[roas]]&lt;10),"Check: Low ROAS not flagged","")</f>
        <v/>
      </c>
      <c r="V145" s="10" t="s">
        <v>46</v>
      </c>
      <c r="W145" s="10" t="s">
        <v>47</v>
      </c>
      <c r="X145" s="10" t="s">
        <v>48</v>
      </c>
      <c r="Y145" s="2"/>
      <c r="AA145" s="1"/>
    </row>
    <row r="146" spans="1:27" ht="34" x14ac:dyDescent="0.2">
      <c r="A146" s="1" t="s">
        <v>145</v>
      </c>
      <c r="B146" s="11">
        <v>46027</v>
      </c>
      <c r="C146" s="1" t="s">
        <v>53</v>
      </c>
      <c r="D146" s="1" t="s">
        <v>54</v>
      </c>
      <c r="E146">
        <v>155</v>
      </c>
      <c r="F146">
        <v>7761.78</v>
      </c>
      <c r="G146">
        <v>561</v>
      </c>
      <c r="H146" s="4">
        <v>-7.8820000000000001E-2</v>
      </c>
      <c r="I146" s="3">
        <v>5.1610000000000003E-2</v>
      </c>
      <c r="J146" s="3">
        <v>1.29E-2</v>
      </c>
      <c r="K146">
        <v>42.65</v>
      </c>
      <c r="L146">
        <v>5</v>
      </c>
      <c r="M146">
        <v>27.87</v>
      </c>
      <c r="N146">
        <v>0.13547999999999999</v>
      </c>
      <c r="O146" s="5">
        <v>37.732185145320003</v>
      </c>
      <c r="P146" s="6">
        <v>58</v>
      </c>
      <c r="Q146" s="1" t="s">
        <v>55</v>
      </c>
      <c r="R146" s="1" t="s">
        <v>45</v>
      </c>
      <c r="S146" s="7" cm="1">
        <f t="array" ref="S146">_xlfn.SWITCH(tblSMB[[#This Row],[segment]],
"At Risk",1,
"Ops Constrained",2,
"Ad Inefficient",3,
"High Potential",4,
"Core",5,99)</f>
        <v>2</v>
      </c>
      <c r="T146" s="7" t="str" cm="1">
        <f t="array" ref="T146">_xlfn.SWITCH(tblSMB[[#This Row],[segment]],
"At Risk","48 hours",
"Ops Constrained","72 hours",
"Ad Inefficient","1 week",
"High Potential","1 week",
"Core","2 weeks","")</f>
        <v>72 hours</v>
      </c>
      <c r="U146" s="9" t="str">
        <f>IF(AND(tblSMB[[#This Row],[segment]]&lt;&gt;"Ad Inefficient",tblSMB[[#This Row],[roas]]&lt;10),"Check: Low ROAS not flagged","")</f>
        <v/>
      </c>
      <c r="V146" s="10" t="s">
        <v>46</v>
      </c>
      <c r="W146" s="10" t="s">
        <v>47</v>
      </c>
      <c r="X146" s="10" t="s">
        <v>48</v>
      </c>
      <c r="Y146" s="2"/>
      <c r="AA146" s="1"/>
    </row>
    <row r="147" spans="1:27" ht="34" x14ac:dyDescent="0.2">
      <c r="A147" s="1" t="s">
        <v>88</v>
      </c>
      <c r="B147" s="11">
        <v>46027</v>
      </c>
      <c r="C147" s="1" t="s">
        <v>50</v>
      </c>
      <c r="D147" s="1" t="s">
        <v>38</v>
      </c>
      <c r="E147">
        <v>95</v>
      </c>
      <c r="F147">
        <v>2536.31</v>
      </c>
      <c r="G147">
        <v>377</v>
      </c>
      <c r="H147" s="4">
        <v>-8.7169999999999997E-2</v>
      </c>
      <c r="I147" s="3">
        <v>3.1579999999999997E-2</v>
      </c>
      <c r="J147" s="3">
        <v>2.1049999999999999E-2</v>
      </c>
      <c r="K147">
        <v>28.94</v>
      </c>
      <c r="L147">
        <v>4.6399999999999997</v>
      </c>
      <c r="M147">
        <v>14.49</v>
      </c>
      <c r="N147">
        <v>9.4740000000000005E-2</v>
      </c>
      <c r="O147" s="5">
        <v>16.582608695649999</v>
      </c>
      <c r="P147" s="6">
        <v>58</v>
      </c>
      <c r="Q147" s="1" t="s">
        <v>24</v>
      </c>
      <c r="R147" s="1" t="s">
        <v>25</v>
      </c>
      <c r="S147" s="7" cm="1">
        <f t="array" ref="S147">_xlfn.SWITCH(tblSMB[[#This Row],[segment]],
"At Risk",1,
"Ops Constrained",2,
"Ad Inefficient",3,
"High Potential",4,
"Core",5,99)</f>
        <v>5</v>
      </c>
      <c r="T147" s="7" t="str" cm="1">
        <f t="array" ref="T147">_xlfn.SWITCH(tblSMB[[#This Row],[segment]],
"At Risk","48 hours",
"Ops Constrained","72 hours",
"Ad Inefficient","1 week",
"High Potential","1 week",
"Core","2 weeks","")</f>
        <v>2 weeks</v>
      </c>
      <c r="U147" s="9" t="str">
        <f>IF(AND(tblSMB[[#This Row],[segment]]&lt;&gt;"Ad Inefficient",tblSMB[[#This Row],[roas]]&lt;10),"Check: Low ROAS not flagged","")</f>
        <v/>
      </c>
      <c r="V147" s="10" t="s">
        <v>26</v>
      </c>
      <c r="W147" s="10" t="s">
        <v>27</v>
      </c>
      <c r="X147" s="10" t="s">
        <v>28</v>
      </c>
      <c r="Y147" s="2"/>
      <c r="AA147" s="1"/>
    </row>
    <row r="148" spans="1:27" ht="34" x14ac:dyDescent="0.2">
      <c r="A148" s="1" t="s">
        <v>223</v>
      </c>
      <c r="B148" s="11">
        <v>46027</v>
      </c>
      <c r="C148" s="1" t="s">
        <v>273</v>
      </c>
      <c r="D148" s="1" t="s">
        <v>38</v>
      </c>
      <c r="E148">
        <v>238</v>
      </c>
      <c r="F148">
        <v>6364.12</v>
      </c>
      <c r="G148">
        <v>982</v>
      </c>
      <c r="H148" s="4">
        <v>-3.7249999999999998E-2</v>
      </c>
      <c r="I148" s="3">
        <v>3.7819999999999999E-2</v>
      </c>
      <c r="J148" s="3">
        <v>2.1010000000000001E-2</v>
      </c>
      <c r="K148">
        <v>30.37</v>
      </c>
      <c r="L148">
        <v>4.57</v>
      </c>
      <c r="M148">
        <v>53.65</v>
      </c>
      <c r="N148">
        <v>9.6640000000000004E-2</v>
      </c>
      <c r="O148" s="5">
        <v>11.46356011184</v>
      </c>
      <c r="P148" s="6">
        <v>59</v>
      </c>
      <c r="Q148" s="1" t="s">
        <v>100</v>
      </c>
      <c r="R148" s="1" t="s">
        <v>168</v>
      </c>
      <c r="S148" s="7" cm="1">
        <f t="array" ref="S148">_xlfn.SWITCH(tblSMB[[#This Row],[segment]],
"At Risk",1,
"Ops Constrained",2,
"Ad Inefficient",3,
"High Potential",4,
"Core",5,99)</f>
        <v>3</v>
      </c>
      <c r="T148" s="7" t="str" cm="1">
        <f t="array" ref="T148">_xlfn.SWITCH(tblSMB[[#This Row],[segment]],
"At Risk","48 hours",
"Ops Constrained","72 hours",
"Ad Inefficient","1 week",
"High Potential","1 week",
"Core","2 weeks","")</f>
        <v>1 week</v>
      </c>
      <c r="U148" s="9" t="str">
        <f>IF(AND(tblSMB[[#This Row],[segment]]&lt;&gt;"Ad Inefficient",tblSMB[[#This Row],[roas]]&lt;10),"Check: Low ROAS not flagged","")</f>
        <v/>
      </c>
      <c r="V148" s="10" t="s">
        <v>169</v>
      </c>
      <c r="W148" s="10" t="s">
        <v>170</v>
      </c>
      <c r="X148" s="10" t="s">
        <v>171</v>
      </c>
      <c r="Y148" s="2"/>
      <c r="AA148" s="1"/>
    </row>
    <row r="149" spans="1:27" ht="34" x14ac:dyDescent="0.2">
      <c r="A149" s="1" t="s">
        <v>237</v>
      </c>
      <c r="B149" s="11">
        <v>46027</v>
      </c>
      <c r="C149" s="1" t="s">
        <v>53</v>
      </c>
      <c r="D149" s="1" t="s">
        <v>31</v>
      </c>
      <c r="E149">
        <v>274</v>
      </c>
      <c r="F149">
        <v>3946.01</v>
      </c>
      <c r="G149">
        <v>1051</v>
      </c>
      <c r="H149" s="4">
        <v>1.155E-2</v>
      </c>
      <c r="I149" s="3">
        <v>4.7449999999999999E-2</v>
      </c>
      <c r="J149" s="3">
        <v>2.92E-2</v>
      </c>
      <c r="K149">
        <v>21.68</v>
      </c>
      <c r="L149">
        <v>4.49</v>
      </c>
      <c r="M149">
        <v>63.69</v>
      </c>
      <c r="N149">
        <v>0.12044000000000001</v>
      </c>
      <c r="O149" s="5">
        <v>7.4619150259099998</v>
      </c>
      <c r="P149" s="6">
        <v>59</v>
      </c>
      <c r="Q149" s="1" t="s">
        <v>100</v>
      </c>
      <c r="R149" s="1" t="s">
        <v>168</v>
      </c>
      <c r="S149" s="7" cm="1">
        <f t="array" ref="S149">_xlfn.SWITCH(tblSMB[[#This Row],[segment]],
"At Risk",1,
"Ops Constrained",2,
"Ad Inefficient",3,
"High Potential",4,
"Core",5,99)</f>
        <v>3</v>
      </c>
      <c r="T149" s="7" t="str" cm="1">
        <f t="array" ref="T149">_xlfn.SWITCH(tblSMB[[#This Row],[segment]],
"At Risk","48 hours",
"Ops Constrained","72 hours",
"Ad Inefficient","1 week",
"High Potential","1 week",
"Core","2 weeks","")</f>
        <v>1 week</v>
      </c>
      <c r="U149" s="9" t="str">
        <f>IF(AND(tblSMB[[#This Row],[segment]]&lt;&gt;"Ad Inefficient",tblSMB[[#This Row],[roas]]&lt;10),"Check: Low ROAS not flagged","")</f>
        <v/>
      </c>
      <c r="V149" s="10" t="s">
        <v>169</v>
      </c>
      <c r="W149" s="10" t="s">
        <v>170</v>
      </c>
      <c r="X149" s="10" t="s">
        <v>171</v>
      </c>
      <c r="Y149" s="2"/>
      <c r="AA149" s="1"/>
    </row>
    <row r="150" spans="1:27" ht="34" x14ac:dyDescent="0.2">
      <c r="A150" s="1" t="s">
        <v>181</v>
      </c>
      <c r="B150" s="11">
        <v>46027</v>
      </c>
      <c r="C150" s="1" t="s">
        <v>40</v>
      </c>
      <c r="D150" s="1" t="s">
        <v>23</v>
      </c>
      <c r="E150">
        <v>218</v>
      </c>
      <c r="F150">
        <v>4669.3900000000003</v>
      </c>
      <c r="G150">
        <v>806</v>
      </c>
      <c r="H150" s="4">
        <v>-0.12391000000000001</v>
      </c>
      <c r="I150" s="3">
        <v>3.6700000000000003E-2</v>
      </c>
      <c r="J150" s="3">
        <v>1.376E-2</v>
      </c>
      <c r="K150">
        <v>28.96</v>
      </c>
      <c r="L150">
        <v>4.8499999999999996</v>
      </c>
      <c r="M150">
        <v>35.74</v>
      </c>
      <c r="N150">
        <v>0.14679</v>
      </c>
      <c r="O150" s="5">
        <v>19.177813094569998</v>
      </c>
      <c r="P150" s="6">
        <v>59</v>
      </c>
      <c r="Q150" s="1" t="s">
        <v>41</v>
      </c>
      <c r="R150" s="1" t="s">
        <v>32</v>
      </c>
      <c r="S150" s="7" cm="1">
        <f t="array" ref="S150">_xlfn.SWITCH(tblSMB[[#This Row],[segment]],
"At Risk",1,
"Ops Constrained",2,
"Ad Inefficient",3,
"High Potential",4,
"Core",5,99)</f>
        <v>4</v>
      </c>
      <c r="T150" s="7" t="str" cm="1">
        <f t="array" ref="T150">_xlfn.SWITCH(tblSMB[[#This Row],[segment]],
"At Risk","48 hours",
"Ops Constrained","72 hours",
"Ad Inefficient","1 week",
"High Potential","1 week",
"Core","2 weeks","")</f>
        <v>1 week</v>
      </c>
      <c r="U150" s="9" t="str">
        <f>IF(AND(tblSMB[[#This Row],[segment]]&lt;&gt;"Ad Inefficient",tblSMB[[#This Row],[roas]]&lt;10),"Check: Low ROAS not flagged","")</f>
        <v/>
      </c>
      <c r="V150" s="10" t="s">
        <v>33</v>
      </c>
      <c r="W150" s="10" t="s">
        <v>34</v>
      </c>
      <c r="X150" s="10" t="s">
        <v>35</v>
      </c>
      <c r="Y150" s="2"/>
      <c r="AA150" s="1"/>
    </row>
    <row r="151" spans="1:27" ht="34" x14ac:dyDescent="0.2">
      <c r="A151" s="1" t="s">
        <v>49</v>
      </c>
      <c r="B151" s="11">
        <v>46027</v>
      </c>
      <c r="C151" s="1" t="s">
        <v>50</v>
      </c>
      <c r="D151" s="1" t="s">
        <v>43</v>
      </c>
      <c r="E151">
        <v>159</v>
      </c>
      <c r="F151">
        <v>4851.41</v>
      </c>
      <c r="G151">
        <v>708</v>
      </c>
      <c r="H151" s="4">
        <v>-8.8800000000000004E-2</v>
      </c>
      <c r="I151" s="3">
        <v>4.403E-2</v>
      </c>
      <c r="J151" s="3">
        <v>1.8870000000000001E-2</v>
      </c>
      <c r="K151">
        <v>29.43</v>
      </c>
      <c r="L151">
        <v>4.71</v>
      </c>
      <c r="M151">
        <v>9.0500000000000007</v>
      </c>
      <c r="N151">
        <v>8.1759999999999999E-2</v>
      </c>
      <c r="O151" s="5">
        <v>43.829410939230002</v>
      </c>
      <c r="P151" s="6">
        <v>59</v>
      </c>
      <c r="Q151" s="1" t="s">
        <v>24</v>
      </c>
      <c r="R151" s="1" t="s">
        <v>25</v>
      </c>
      <c r="S151" s="7" cm="1">
        <f t="array" ref="S151">_xlfn.SWITCH(tblSMB[[#This Row],[segment]],
"At Risk",1,
"Ops Constrained",2,
"Ad Inefficient",3,
"High Potential",4,
"Core",5,99)</f>
        <v>5</v>
      </c>
      <c r="T151" s="7" t="str" cm="1">
        <f t="array" ref="T151">_xlfn.SWITCH(tblSMB[[#This Row],[segment]],
"At Risk","48 hours",
"Ops Constrained","72 hours",
"Ad Inefficient","1 week",
"High Potential","1 week",
"Core","2 weeks","")</f>
        <v>2 weeks</v>
      </c>
      <c r="U151" s="9" t="str">
        <f>IF(AND(tblSMB[[#This Row],[segment]]&lt;&gt;"Ad Inefficient",tblSMB[[#This Row],[roas]]&lt;10),"Check: Low ROAS not flagged","")</f>
        <v/>
      </c>
      <c r="V151" s="10" t="s">
        <v>26</v>
      </c>
      <c r="W151" s="10" t="s">
        <v>27</v>
      </c>
      <c r="X151" s="10" t="s">
        <v>28</v>
      </c>
      <c r="Y151" s="2"/>
      <c r="AA151" s="1"/>
    </row>
    <row r="152" spans="1:27" ht="34" x14ac:dyDescent="0.2">
      <c r="A152" s="1" t="s">
        <v>137</v>
      </c>
      <c r="B152" s="11">
        <v>46027</v>
      </c>
      <c r="C152" s="1" t="s">
        <v>79</v>
      </c>
      <c r="D152" s="1" t="s">
        <v>54</v>
      </c>
      <c r="E152">
        <v>135</v>
      </c>
      <c r="F152">
        <v>5639.42</v>
      </c>
      <c r="G152">
        <v>503</v>
      </c>
      <c r="H152" s="4">
        <v>-7.0239999999999997E-2</v>
      </c>
      <c r="I152" s="3">
        <v>4.444E-2</v>
      </c>
      <c r="J152" s="3">
        <v>1.481E-2</v>
      </c>
      <c r="K152">
        <v>40.14</v>
      </c>
      <c r="L152">
        <v>4.76</v>
      </c>
      <c r="M152">
        <v>26.15</v>
      </c>
      <c r="N152">
        <v>0.14815</v>
      </c>
      <c r="O152" s="5">
        <v>31.949125047799999</v>
      </c>
      <c r="P152" s="6">
        <v>60</v>
      </c>
      <c r="Q152" s="1" t="s">
        <v>55</v>
      </c>
      <c r="R152" s="1" t="s">
        <v>45</v>
      </c>
      <c r="S152" s="7" cm="1">
        <f t="array" ref="S152">_xlfn.SWITCH(tblSMB[[#This Row],[segment]],
"At Risk",1,
"Ops Constrained",2,
"Ad Inefficient",3,
"High Potential",4,
"Core",5,99)</f>
        <v>2</v>
      </c>
      <c r="T152" s="7" t="str" cm="1">
        <f t="array" ref="T152">_xlfn.SWITCH(tblSMB[[#This Row],[segment]],
"At Risk","48 hours",
"Ops Constrained","72 hours",
"Ad Inefficient","1 week",
"High Potential","1 week",
"Core","2 weeks","")</f>
        <v>72 hours</v>
      </c>
      <c r="U152" s="9" t="str">
        <f>IF(AND(tblSMB[[#This Row],[segment]]&lt;&gt;"Ad Inefficient",tblSMB[[#This Row],[roas]]&lt;10),"Check: Low ROAS not flagged","")</f>
        <v/>
      </c>
      <c r="V152" s="10" t="s">
        <v>46</v>
      </c>
      <c r="W152" s="10" t="s">
        <v>47</v>
      </c>
      <c r="X152" s="10" t="s">
        <v>48</v>
      </c>
      <c r="Y152" s="2"/>
      <c r="AA152" s="1"/>
    </row>
    <row r="153" spans="1:27" ht="34" x14ac:dyDescent="0.2">
      <c r="A153" s="1" t="s">
        <v>109</v>
      </c>
      <c r="B153" s="11">
        <v>46027</v>
      </c>
      <c r="C153" s="1" t="s">
        <v>37</v>
      </c>
      <c r="D153" s="1" t="s">
        <v>58</v>
      </c>
      <c r="E153">
        <v>99</v>
      </c>
      <c r="F153">
        <v>1979.8</v>
      </c>
      <c r="G153">
        <v>371</v>
      </c>
      <c r="H153" s="4">
        <v>-0.125</v>
      </c>
      <c r="I153" s="3">
        <v>4.0399999999999998E-2</v>
      </c>
      <c r="J153" s="3">
        <v>2.0199999999999999E-2</v>
      </c>
      <c r="K153">
        <v>25.59</v>
      </c>
      <c r="L153">
        <v>4.99</v>
      </c>
      <c r="M153">
        <v>18.95</v>
      </c>
      <c r="N153">
        <v>0.20202000000000001</v>
      </c>
      <c r="O153" s="5">
        <v>21.106047493399998</v>
      </c>
      <c r="P153" s="6">
        <v>60</v>
      </c>
      <c r="Q153" s="1" t="s">
        <v>41</v>
      </c>
      <c r="R153" s="1" t="s">
        <v>25</v>
      </c>
      <c r="S153" s="7" cm="1">
        <f t="array" ref="S153">_xlfn.SWITCH(tblSMB[[#This Row],[segment]],
"At Risk",1,
"Ops Constrained",2,
"Ad Inefficient",3,
"High Potential",4,
"Core",5,99)</f>
        <v>5</v>
      </c>
      <c r="T153" s="7" t="str" cm="1">
        <f t="array" ref="T153">_xlfn.SWITCH(tblSMB[[#This Row],[segment]],
"At Risk","48 hours",
"Ops Constrained","72 hours",
"Ad Inefficient","1 week",
"High Potential","1 week",
"Core","2 weeks","")</f>
        <v>2 weeks</v>
      </c>
      <c r="U153" s="9" t="str">
        <f>IF(AND(tblSMB[[#This Row],[segment]]&lt;&gt;"Ad Inefficient",tblSMB[[#This Row],[roas]]&lt;10),"Check: Low ROAS not flagged","")</f>
        <v/>
      </c>
      <c r="V153" s="10" t="s">
        <v>26</v>
      </c>
      <c r="W153" s="10" t="s">
        <v>27</v>
      </c>
      <c r="X153" s="10" t="s">
        <v>28</v>
      </c>
      <c r="Y153" s="2"/>
      <c r="AA153" s="1"/>
    </row>
    <row r="154" spans="1:27" ht="34" x14ac:dyDescent="0.2">
      <c r="A154" s="1" t="s">
        <v>131</v>
      </c>
      <c r="B154" s="11">
        <v>46027</v>
      </c>
      <c r="C154" s="1" t="s">
        <v>57</v>
      </c>
      <c r="D154" s="1" t="s">
        <v>58</v>
      </c>
      <c r="E154">
        <v>266</v>
      </c>
      <c r="F154">
        <v>5305.1</v>
      </c>
      <c r="G154">
        <v>987</v>
      </c>
      <c r="H154" s="4">
        <v>-0.19428999999999999</v>
      </c>
      <c r="I154" s="3">
        <v>3.7589999999999998E-2</v>
      </c>
      <c r="J154" s="3">
        <v>1.8800000000000001E-2</v>
      </c>
      <c r="K154">
        <v>23.13</v>
      </c>
      <c r="L154">
        <v>5</v>
      </c>
      <c r="M154">
        <v>24.71</v>
      </c>
      <c r="N154">
        <v>0.15038000000000001</v>
      </c>
      <c r="O154" s="5">
        <v>32.284880615139997</v>
      </c>
      <c r="P154" s="6">
        <v>60</v>
      </c>
      <c r="Q154" s="1" t="s">
        <v>41</v>
      </c>
      <c r="R154" s="1" t="s">
        <v>25</v>
      </c>
      <c r="S154" s="7" cm="1">
        <f t="array" ref="S154">_xlfn.SWITCH(tblSMB[[#This Row],[segment]],
"At Risk",1,
"Ops Constrained",2,
"Ad Inefficient",3,
"High Potential",4,
"Core",5,99)</f>
        <v>5</v>
      </c>
      <c r="T154" s="7" t="str" cm="1">
        <f t="array" ref="T154">_xlfn.SWITCH(tblSMB[[#This Row],[segment]],
"At Risk","48 hours",
"Ops Constrained","72 hours",
"Ad Inefficient","1 week",
"High Potential","1 week",
"Core","2 weeks","")</f>
        <v>2 weeks</v>
      </c>
      <c r="U154" s="9" t="str">
        <f>IF(AND(tblSMB[[#This Row],[segment]]&lt;&gt;"Ad Inefficient",tblSMB[[#This Row],[roas]]&lt;10),"Check: Low ROAS not flagged","")</f>
        <v/>
      </c>
      <c r="V154" s="10" t="s">
        <v>26</v>
      </c>
      <c r="W154" s="10" t="s">
        <v>27</v>
      </c>
      <c r="X154" s="10" t="s">
        <v>28</v>
      </c>
      <c r="Y154" s="2"/>
      <c r="AA154" s="1"/>
    </row>
    <row r="155" spans="1:27" ht="34" x14ac:dyDescent="0.2">
      <c r="A155" s="1" t="s">
        <v>232</v>
      </c>
      <c r="B155" s="11">
        <v>46027</v>
      </c>
      <c r="C155" s="1" t="s">
        <v>30</v>
      </c>
      <c r="D155" s="1" t="s">
        <v>31</v>
      </c>
      <c r="E155">
        <v>177</v>
      </c>
      <c r="F155">
        <v>2383.39</v>
      </c>
      <c r="G155">
        <v>674</v>
      </c>
      <c r="H155" s="4">
        <v>7.6679999999999998E-2</v>
      </c>
      <c r="I155" s="3">
        <v>4.5199999999999997E-2</v>
      </c>
      <c r="J155" s="3">
        <v>2.2599999999999999E-2</v>
      </c>
      <c r="K155">
        <v>29.2</v>
      </c>
      <c r="L155">
        <v>4.49</v>
      </c>
      <c r="M155">
        <v>59.72</v>
      </c>
      <c r="N155">
        <v>0.17513999999999999</v>
      </c>
      <c r="O155" s="5">
        <v>6.9897836570700003</v>
      </c>
      <c r="P155" s="6">
        <v>61</v>
      </c>
      <c r="Q155" s="1" t="s">
        <v>100</v>
      </c>
      <c r="R155" s="1" t="s">
        <v>168</v>
      </c>
      <c r="S155" s="7" cm="1">
        <f t="array" ref="S155">_xlfn.SWITCH(tblSMB[[#This Row],[segment]],
"At Risk",1,
"Ops Constrained",2,
"Ad Inefficient",3,
"High Potential",4,
"Core",5,99)</f>
        <v>3</v>
      </c>
      <c r="T155" s="7" t="str" cm="1">
        <f t="array" ref="T155">_xlfn.SWITCH(tblSMB[[#This Row],[segment]],
"At Risk","48 hours",
"Ops Constrained","72 hours",
"Ad Inefficient","1 week",
"High Potential","1 week",
"Core","2 weeks","")</f>
        <v>1 week</v>
      </c>
      <c r="U155" s="9" t="str">
        <f>IF(AND(tblSMB[[#This Row],[segment]]&lt;&gt;"Ad Inefficient",tblSMB[[#This Row],[roas]]&lt;10),"Check: Low ROAS not flagged","")</f>
        <v/>
      </c>
      <c r="V155" s="10" t="s">
        <v>169</v>
      </c>
      <c r="W155" s="10" t="s">
        <v>170</v>
      </c>
      <c r="X155" s="10" t="s">
        <v>171</v>
      </c>
      <c r="Y155" s="2"/>
      <c r="AA155" s="1"/>
    </row>
    <row r="156" spans="1:27" ht="34" x14ac:dyDescent="0.2">
      <c r="A156" s="1" t="s">
        <v>195</v>
      </c>
      <c r="B156" s="11">
        <v>46027</v>
      </c>
      <c r="C156" s="1" t="s">
        <v>22</v>
      </c>
      <c r="D156" s="1" t="s">
        <v>43</v>
      </c>
      <c r="E156">
        <v>318</v>
      </c>
      <c r="F156">
        <v>9031.2000000000007</v>
      </c>
      <c r="G156">
        <v>995</v>
      </c>
      <c r="H156" s="4">
        <v>-8.4640000000000007E-2</v>
      </c>
      <c r="I156" s="3">
        <v>5.0310000000000001E-2</v>
      </c>
      <c r="J156" s="3">
        <v>1.5720000000000001E-2</v>
      </c>
      <c r="K156">
        <v>27.91</v>
      </c>
      <c r="L156">
        <v>4.72</v>
      </c>
      <c r="M156">
        <v>41.08</v>
      </c>
      <c r="N156">
        <v>0.16037999999999999</v>
      </c>
      <c r="O156" s="5">
        <v>35.25803310613</v>
      </c>
      <c r="P156" s="6">
        <v>61</v>
      </c>
      <c r="Q156" s="1" t="s">
        <v>24</v>
      </c>
      <c r="R156" s="1" t="s">
        <v>25</v>
      </c>
      <c r="S156" s="7" cm="1">
        <f t="array" ref="S156">_xlfn.SWITCH(tblSMB[[#This Row],[segment]],
"At Risk",1,
"Ops Constrained",2,
"Ad Inefficient",3,
"High Potential",4,
"Core",5,99)</f>
        <v>5</v>
      </c>
      <c r="T156" s="7" t="str" cm="1">
        <f t="array" ref="T156">_xlfn.SWITCH(tblSMB[[#This Row],[segment]],
"At Risk","48 hours",
"Ops Constrained","72 hours",
"Ad Inefficient","1 week",
"High Potential","1 week",
"Core","2 weeks","")</f>
        <v>2 weeks</v>
      </c>
      <c r="U156" s="9" t="str">
        <f>IF(AND(tblSMB[[#This Row],[segment]]&lt;&gt;"Ad Inefficient",tblSMB[[#This Row],[roas]]&lt;10),"Check: Low ROAS not flagged","")</f>
        <v/>
      </c>
      <c r="V156" s="10" t="s">
        <v>26</v>
      </c>
      <c r="W156" s="10" t="s">
        <v>27</v>
      </c>
      <c r="X156" s="10" t="s">
        <v>28</v>
      </c>
      <c r="Y156" s="2"/>
      <c r="AA156" s="1"/>
    </row>
    <row r="157" spans="1:27" ht="34" x14ac:dyDescent="0.2">
      <c r="A157" s="1" t="s">
        <v>199</v>
      </c>
      <c r="B157" s="11">
        <v>46027</v>
      </c>
      <c r="C157" s="1" t="s">
        <v>22</v>
      </c>
      <c r="D157" s="1" t="s">
        <v>38</v>
      </c>
      <c r="E157">
        <v>222</v>
      </c>
      <c r="F157">
        <v>5760.99</v>
      </c>
      <c r="G157">
        <v>787</v>
      </c>
      <c r="H157" s="4">
        <v>-2.478E-2</v>
      </c>
      <c r="I157" s="3">
        <v>4.9549999999999997E-2</v>
      </c>
      <c r="J157" s="3">
        <v>1.8020000000000001E-2</v>
      </c>
      <c r="K157">
        <v>29.08</v>
      </c>
      <c r="L157">
        <v>4.57</v>
      </c>
      <c r="M157">
        <v>42.91</v>
      </c>
      <c r="N157">
        <v>0.16216</v>
      </c>
      <c r="O157" s="5">
        <v>21.771488697270001</v>
      </c>
      <c r="P157" s="6">
        <v>61</v>
      </c>
      <c r="Q157" s="1" t="s">
        <v>24</v>
      </c>
      <c r="R157" s="1" t="s">
        <v>25</v>
      </c>
      <c r="S157" s="7" cm="1">
        <f t="array" ref="S157">_xlfn.SWITCH(tblSMB[[#This Row],[segment]],
"At Risk",1,
"Ops Constrained",2,
"Ad Inefficient",3,
"High Potential",4,
"Core",5,99)</f>
        <v>5</v>
      </c>
      <c r="T157" s="7" t="str" cm="1">
        <f t="array" ref="T157">_xlfn.SWITCH(tblSMB[[#This Row],[segment]],
"At Risk","48 hours",
"Ops Constrained","72 hours",
"Ad Inefficient","1 week",
"High Potential","1 week",
"Core","2 weeks","")</f>
        <v>2 weeks</v>
      </c>
      <c r="U157" s="9" t="str">
        <f>IF(AND(tblSMB[[#This Row],[segment]]&lt;&gt;"Ad Inefficient",tblSMB[[#This Row],[roas]]&lt;10),"Check: Low ROAS not flagged","")</f>
        <v/>
      </c>
      <c r="V157" s="10" t="s">
        <v>26</v>
      </c>
      <c r="W157" s="10" t="s">
        <v>27</v>
      </c>
      <c r="X157" s="10" t="s">
        <v>28</v>
      </c>
      <c r="Y157" s="2"/>
      <c r="AA157" s="1"/>
    </row>
    <row r="158" spans="1:27" ht="34" x14ac:dyDescent="0.2">
      <c r="A158" s="1" t="s">
        <v>81</v>
      </c>
      <c r="B158" s="11">
        <v>46027</v>
      </c>
      <c r="C158" s="1" t="s">
        <v>68</v>
      </c>
      <c r="D158" s="1" t="s">
        <v>23</v>
      </c>
      <c r="E158">
        <v>251</v>
      </c>
      <c r="F158">
        <v>5237.0600000000004</v>
      </c>
      <c r="G158">
        <v>935</v>
      </c>
      <c r="H158" s="4">
        <v>-8.3330000000000001E-2</v>
      </c>
      <c r="I158" s="3">
        <v>4.7809999999999998E-2</v>
      </c>
      <c r="J158" s="3">
        <v>1.992E-2</v>
      </c>
      <c r="K158">
        <v>26.74</v>
      </c>
      <c r="L158">
        <v>4.68</v>
      </c>
      <c r="M158">
        <v>12.72</v>
      </c>
      <c r="N158">
        <v>0.15139</v>
      </c>
      <c r="O158" s="5">
        <v>62.331892924530003</v>
      </c>
      <c r="P158" s="6">
        <v>62</v>
      </c>
      <c r="Q158" s="1" t="s">
        <v>24</v>
      </c>
      <c r="R158" s="1" t="s">
        <v>25</v>
      </c>
      <c r="S158" s="7" cm="1">
        <f t="array" ref="S158">_xlfn.SWITCH(tblSMB[[#This Row],[segment]],
"At Risk",1,
"Ops Constrained",2,
"Ad Inefficient",3,
"High Potential",4,
"Core",5,99)</f>
        <v>5</v>
      </c>
      <c r="T158" s="7" t="str" cm="1">
        <f t="array" ref="T158">_xlfn.SWITCH(tblSMB[[#This Row],[segment]],
"At Risk","48 hours",
"Ops Constrained","72 hours",
"Ad Inefficient","1 week",
"High Potential","1 week",
"Core","2 weeks","")</f>
        <v>2 weeks</v>
      </c>
      <c r="U158" s="9" t="str">
        <f>IF(AND(tblSMB[[#This Row],[segment]]&lt;&gt;"Ad Inefficient",tblSMB[[#This Row],[roas]]&lt;10),"Check: Low ROAS not flagged","")</f>
        <v/>
      </c>
      <c r="V158" s="10" t="s">
        <v>26</v>
      </c>
      <c r="W158" s="10" t="s">
        <v>27</v>
      </c>
      <c r="X158" s="10" t="s">
        <v>28</v>
      </c>
      <c r="Y158" s="2"/>
      <c r="AA158" s="1"/>
    </row>
    <row r="159" spans="1:27" ht="34" x14ac:dyDescent="0.2">
      <c r="A159" s="1" t="s">
        <v>127</v>
      </c>
      <c r="B159" s="11">
        <v>46027</v>
      </c>
      <c r="C159" s="1" t="s">
        <v>22</v>
      </c>
      <c r="D159" s="1" t="s">
        <v>58</v>
      </c>
      <c r="E159">
        <v>183</v>
      </c>
      <c r="F159">
        <v>2849.31</v>
      </c>
      <c r="G159">
        <v>785</v>
      </c>
      <c r="H159" s="4">
        <v>-0.12192</v>
      </c>
      <c r="I159" s="3">
        <v>3.8249999999999999E-2</v>
      </c>
      <c r="J159" s="3">
        <v>1.6389999999999998E-2</v>
      </c>
      <c r="K159">
        <v>20.81</v>
      </c>
      <c r="L159">
        <v>4.5999999999999996</v>
      </c>
      <c r="M159">
        <v>24.27</v>
      </c>
      <c r="N159">
        <v>0.16392999999999999</v>
      </c>
      <c r="O159" s="5">
        <v>19.245982694679999</v>
      </c>
      <c r="P159" s="6">
        <v>62</v>
      </c>
      <c r="Q159" s="1" t="s">
        <v>24</v>
      </c>
      <c r="R159" s="1" t="s">
        <v>25</v>
      </c>
      <c r="S159" s="7" cm="1">
        <f t="array" ref="S159">_xlfn.SWITCH(tblSMB[[#This Row],[segment]],
"At Risk",1,
"Ops Constrained",2,
"Ad Inefficient",3,
"High Potential",4,
"Core",5,99)</f>
        <v>5</v>
      </c>
      <c r="T159" s="7" t="str" cm="1">
        <f t="array" ref="T159">_xlfn.SWITCH(tblSMB[[#This Row],[segment]],
"At Risk","48 hours",
"Ops Constrained","72 hours",
"Ad Inefficient","1 week",
"High Potential","1 week",
"Core","2 weeks","")</f>
        <v>2 weeks</v>
      </c>
      <c r="U159" s="9" t="str">
        <f>IF(AND(tblSMB[[#This Row],[segment]]&lt;&gt;"Ad Inefficient",tblSMB[[#This Row],[roas]]&lt;10),"Check: Low ROAS not flagged","")</f>
        <v/>
      </c>
      <c r="V159" s="10" t="s">
        <v>26</v>
      </c>
      <c r="W159" s="10" t="s">
        <v>27</v>
      </c>
      <c r="X159" s="10" t="s">
        <v>28</v>
      </c>
      <c r="Y159" s="2"/>
      <c r="AA159" s="1"/>
    </row>
    <row r="160" spans="1:27" ht="34" x14ac:dyDescent="0.2">
      <c r="A160" s="1" t="s">
        <v>96</v>
      </c>
      <c r="B160" s="11">
        <v>46027</v>
      </c>
      <c r="C160" s="1" t="s">
        <v>68</v>
      </c>
      <c r="D160" s="1" t="s">
        <v>54</v>
      </c>
      <c r="E160">
        <v>200</v>
      </c>
      <c r="F160">
        <v>9758.7000000000007</v>
      </c>
      <c r="G160">
        <v>810</v>
      </c>
      <c r="H160" s="4">
        <v>-9.3960000000000002E-2</v>
      </c>
      <c r="I160" s="3">
        <v>0.04</v>
      </c>
      <c r="J160" s="3">
        <v>1.4999999999999999E-2</v>
      </c>
      <c r="K160">
        <v>41.69</v>
      </c>
      <c r="L160">
        <v>5</v>
      </c>
      <c r="M160">
        <v>16.739999999999998</v>
      </c>
      <c r="N160">
        <v>0.09</v>
      </c>
      <c r="O160" s="5">
        <v>52.46612903226</v>
      </c>
      <c r="P160" s="6">
        <v>63</v>
      </c>
      <c r="Q160" s="1" t="s">
        <v>55</v>
      </c>
      <c r="R160" s="1" t="s">
        <v>45</v>
      </c>
      <c r="S160" s="7" cm="1">
        <f t="array" ref="S160">_xlfn.SWITCH(tblSMB[[#This Row],[segment]],
"At Risk",1,
"Ops Constrained",2,
"Ad Inefficient",3,
"High Potential",4,
"Core",5,99)</f>
        <v>2</v>
      </c>
      <c r="T160" s="7" t="str" cm="1">
        <f t="array" ref="T160">_xlfn.SWITCH(tblSMB[[#This Row],[segment]],
"At Risk","48 hours",
"Ops Constrained","72 hours",
"Ad Inefficient","1 week",
"High Potential","1 week",
"Core","2 weeks","")</f>
        <v>72 hours</v>
      </c>
      <c r="U160" s="9" t="str">
        <f>IF(AND(tblSMB[[#This Row],[segment]]&lt;&gt;"Ad Inefficient",tblSMB[[#This Row],[roas]]&lt;10),"Check: Low ROAS not flagged","")</f>
        <v/>
      </c>
      <c r="V160" s="10" t="s">
        <v>46</v>
      </c>
      <c r="W160" s="10" t="s">
        <v>47</v>
      </c>
      <c r="X160" s="10" t="s">
        <v>48</v>
      </c>
      <c r="Y160" s="2"/>
      <c r="AA160" s="1"/>
    </row>
    <row r="161" spans="1:27" ht="34" x14ac:dyDescent="0.2">
      <c r="A161" s="1" t="s">
        <v>161</v>
      </c>
      <c r="B161" s="11">
        <v>46027</v>
      </c>
      <c r="C161" s="1" t="s">
        <v>79</v>
      </c>
      <c r="D161" s="1" t="s">
        <v>54</v>
      </c>
      <c r="E161">
        <v>117</v>
      </c>
      <c r="F161">
        <v>6026.32</v>
      </c>
      <c r="G161">
        <v>439</v>
      </c>
      <c r="H161" s="4">
        <v>-1.3480000000000001E-2</v>
      </c>
      <c r="I161" s="3">
        <v>5.1279999999999999E-2</v>
      </c>
      <c r="J161" s="3">
        <v>1.7090000000000001E-2</v>
      </c>
      <c r="K161">
        <v>43.25</v>
      </c>
      <c r="L161">
        <v>4.9800000000000004</v>
      </c>
      <c r="M161">
        <v>31.91</v>
      </c>
      <c r="N161">
        <v>0.13675000000000001</v>
      </c>
      <c r="O161" s="5">
        <v>25.82614052021</v>
      </c>
      <c r="P161" s="6">
        <v>63</v>
      </c>
      <c r="Q161" s="1" t="s">
        <v>55</v>
      </c>
      <c r="R161" s="1" t="s">
        <v>45</v>
      </c>
      <c r="S161" s="7" cm="1">
        <f t="array" ref="S161">_xlfn.SWITCH(tblSMB[[#This Row],[segment]],
"At Risk",1,
"Ops Constrained",2,
"Ad Inefficient",3,
"High Potential",4,
"Core",5,99)</f>
        <v>2</v>
      </c>
      <c r="T161" s="7" t="str" cm="1">
        <f t="array" ref="T161">_xlfn.SWITCH(tblSMB[[#This Row],[segment]],
"At Risk","48 hours",
"Ops Constrained","72 hours",
"Ad Inefficient","1 week",
"High Potential","1 week",
"Core","2 weeks","")</f>
        <v>72 hours</v>
      </c>
      <c r="U161" s="9" t="str">
        <f>IF(AND(tblSMB[[#This Row],[segment]]&lt;&gt;"Ad Inefficient",tblSMB[[#This Row],[roas]]&lt;10),"Check: Low ROAS not flagged","")</f>
        <v/>
      </c>
      <c r="V161" s="10" t="s">
        <v>46</v>
      </c>
      <c r="W161" s="10" t="s">
        <v>47</v>
      </c>
      <c r="X161" s="10" t="s">
        <v>48</v>
      </c>
      <c r="Y161" s="2"/>
      <c r="AA161" s="1"/>
    </row>
    <row r="162" spans="1:27" ht="34" x14ac:dyDescent="0.2">
      <c r="A162" s="1" t="s">
        <v>230</v>
      </c>
      <c r="B162" s="11">
        <v>46027</v>
      </c>
      <c r="C162" s="1" t="s">
        <v>79</v>
      </c>
      <c r="D162" s="1" t="s">
        <v>54</v>
      </c>
      <c r="E162">
        <v>150</v>
      </c>
      <c r="F162">
        <v>7177.28</v>
      </c>
      <c r="G162">
        <v>565</v>
      </c>
      <c r="H162" s="4">
        <v>2.1700000000000001E-2</v>
      </c>
      <c r="I162" s="3">
        <v>5.3330000000000002E-2</v>
      </c>
      <c r="J162" s="3">
        <v>1.333E-2</v>
      </c>
      <c r="K162">
        <v>46.57</v>
      </c>
      <c r="L162">
        <v>4.9000000000000004</v>
      </c>
      <c r="M162">
        <v>57.55</v>
      </c>
      <c r="N162">
        <v>0.18667</v>
      </c>
      <c r="O162" s="5">
        <v>23.279911798440001</v>
      </c>
      <c r="P162" s="6">
        <v>64</v>
      </c>
      <c r="Q162" s="1" t="s">
        <v>55</v>
      </c>
      <c r="R162" s="1" t="s">
        <v>45</v>
      </c>
      <c r="S162" s="7" cm="1">
        <f t="array" ref="S162">_xlfn.SWITCH(tblSMB[[#This Row],[segment]],
"At Risk",1,
"Ops Constrained",2,
"Ad Inefficient",3,
"High Potential",4,
"Core",5,99)</f>
        <v>2</v>
      </c>
      <c r="T162" s="7" t="str" cm="1">
        <f t="array" ref="T162">_xlfn.SWITCH(tblSMB[[#This Row],[segment]],
"At Risk","48 hours",
"Ops Constrained","72 hours",
"Ad Inefficient","1 week",
"High Potential","1 week",
"Core","2 weeks","")</f>
        <v>72 hours</v>
      </c>
      <c r="U162" s="9" t="str">
        <f>IF(AND(tblSMB[[#This Row],[segment]]&lt;&gt;"Ad Inefficient",tblSMB[[#This Row],[roas]]&lt;10),"Check: Low ROAS not flagged","")</f>
        <v/>
      </c>
      <c r="V162" s="10" t="s">
        <v>46</v>
      </c>
      <c r="W162" s="10" t="s">
        <v>47</v>
      </c>
      <c r="X162" s="10" t="s">
        <v>48</v>
      </c>
      <c r="Y162" s="2"/>
      <c r="AA162" s="1"/>
    </row>
    <row r="163" spans="1:27" ht="34" x14ac:dyDescent="0.2">
      <c r="A163" s="1" t="s">
        <v>98</v>
      </c>
      <c r="B163" s="11">
        <v>46027</v>
      </c>
      <c r="C163" s="1" t="s">
        <v>273</v>
      </c>
      <c r="D163" s="1" t="s">
        <v>58</v>
      </c>
      <c r="E163">
        <v>140</v>
      </c>
      <c r="F163">
        <v>2521.5100000000002</v>
      </c>
      <c r="G163">
        <v>620</v>
      </c>
      <c r="H163" s="4">
        <v>-7.6009999999999994E-2</v>
      </c>
      <c r="I163" s="3">
        <v>3.5709999999999999E-2</v>
      </c>
      <c r="J163" s="3">
        <v>2.1430000000000001E-2</v>
      </c>
      <c r="K163">
        <v>26.68</v>
      </c>
      <c r="L163">
        <v>4.75</v>
      </c>
      <c r="M163">
        <v>16.98</v>
      </c>
      <c r="N163">
        <v>0.11429</v>
      </c>
      <c r="O163" s="5">
        <v>16.9712942285</v>
      </c>
      <c r="P163" s="6">
        <v>64</v>
      </c>
      <c r="Q163" s="1" t="s">
        <v>24</v>
      </c>
      <c r="R163" s="1" t="s">
        <v>25</v>
      </c>
      <c r="S163" s="7" cm="1">
        <f t="array" ref="S163">_xlfn.SWITCH(tblSMB[[#This Row],[segment]],
"At Risk",1,
"Ops Constrained",2,
"Ad Inefficient",3,
"High Potential",4,
"Core",5,99)</f>
        <v>5</v>
      </c>
      <c r="T163" s="7" t="str" cm="1">
        <f t="array" ref="T163">_xlfn.SWITCH(tblSMB[[#This Row],[segment]],
"At Risk","48 hours",
"Ops Constrained","72 hours",
"Ad Inefficient","1 week",
"High Potential","1 week",
"Core","2 weeks","")</f>
        <v>2 weeks</v>
      </c>
      <c r="U163" s="9" t="str">
        <f>IF(AND(tblSMB[[#This Row],[segment]]&lt;&gt;"Ad Inefficient",tblSMB[[#This Row],[roas]]&lt;10),"Check: Low ROAS not flagged","")</f>
        <v/>
      </c>
      <c r="V163" s="10" t="s">
        <v>26</v>
      </c>
      <c r="W163" s="10" t="s">
        <v>27</v>
      </c>
      <c r="X163" s="10" t="s">
        <v>28</v>
      </c>
      <c r="Y163" s="2"/>
      <c r="AA163" s="1"/>
    </row>
    <row r="164" spans="1:27" ht="34" x14ac:dyDescent="0.2">
      <c r="A164" s="1" t="s">
        <v>120</v>
      </c>
      <c r="B164" s="11">
        <v>46027</v>
      </c>
      <c r="C164" s="1" t="s">
        <v>68</v>
      </c>
      <c r="D164" s="1" t="s">
        <v>23</v>
      </c>
      <c r="E164">
        <v>183</v>
      </c>
      <c r="F164">
        <v>3451.09</v>
      </c>
      <c r="G164">
        <v>700</v>
      </c>
      <c r="H164" s="4">
        <v>-2.913E-2</v>
      </c>
      <c r="I164" s="3">
        <v>4.3720000000000002E-2</v>
      </c>
      <c r="J164" s="3">
        <v>1.6389999999999998E-2</v>
      </c>
      <c r="K164">
        <v>32.5</v>
      </c>
      <c r="L164">
        <v>4.53</v>
      </c>
      <c r="M164">
        <v>22</v>
      </c>
      <c r="N164">
        <v>0.15847</v>
      </c>
      <c r="O164" s="5">
        <v>24.858819772730001</v>
      </c>
      <c r="P164" s="6">
        <v>64</v>
      </c>
      <c r="Q164" s="1" t="s">
        <v>24</v>
      </c>
      <c r="R164" s="1" t="s">
        <v>25</v>
      </c>
      <c r="S164" s="7" cm="1">
        <f t="array" ref="S164">_xlfn.SWITCH(tblSMB[[#This Row],[segment]],
"At Risk",1,
"Ops Constrained",2,
"Ad Inefficient",3,
"High Potential",4,
"Core",5,99)</f>
        <v>5</v>
      </c>
      <c r="T164" s="7" t="str" cm="1">
        <f t="array" ref="T164">_xlfn.SWITCH(tblSMB[[#This Row],[segment]],
"At Risk","48 hours",
"Ops Constrained","72 hours",
"Ad Inefficient","1 week",
"High Potential","1 week",
"Core","2 weeks","")</f>
        <v>2 weeks</v>
      </c>
      <c r="U164" s="9" t="str">
        <f>IF(AND(tblSMB[[#This Row],[segment]]&lt;&gt;"Ad Inefficient",tblSMB[[#This Row],[roas]]&lt;10),"Check: Low ROAS not flagged","")</f>
        <v/>
      </c>
      <c r="V164" s="10" t="s">
        <v>26</v>
      </c>
      <c r="W164" s="10" t="s">
        <v>27</v>
      </c>
      <c r="X164" s="10" t="s">
        <v>28</v>
      </c>
      <c r="Y164" s="2"/>
      <c r="AA164" s="1"/>
    </row>
    <row r="165" spans="1:27" ht="34" x14ac:dyDescent="0.2">
      <c r="A165" s="1" t="s">
        <v>179</v>
      </c>
      <c r="B165" s="11">
        <v>46027</v>
      </c>
      <c r="C165" s="1" t="s">
        <v>53</v>
      </c>
      <c r="D165" s="1" t="s">
        <v>54</v>
      </c>
      <c r="E165">
        <v>107</v>
      </c>
      <c r="F165">
        <v>4495.7700000000004</v>
      </c>
      <c r="G165">
        <v>404</v>
      </c>
      <c r="H165" s="4">
        <v>3.5900000000000001E-2</v>
      </c>
      <c r="I165" s="3">
        <v>4.6730000000000001E-2</v>
      </c>
      <c r="J165" s="3">
        <v>1.8689999999999998E-2</v>
      </c>
      <c r="K165">
        <v>44.97</v>
      </c>
      <c r="L165">
        <v>4.76</v>
      </c>
      <c r="M165">
        <v>35.22</v>
      </c>
      <c r="N165">
        <v>0.14953</v>
      </c>
      <c r="O165" s="5">
        <v>19.087582964220001</v>
      </c>
      <c r="P165" s="6">
        <v>65</v>
      </c>
      <c r="Q165" s="1" t="s">
        <v>55</v>
      </c>
      <c r="R165" s="1" t="s">
        <v>45</v>
      </c>
      <c r="S165" s="7" cm="1">
        <f t="array" ref="S165">_xlfn.SWITCH(tblSMB[[#This Row],[segment]],
"At Risk",1,
"Ops Constrained",2,
"Ad Inefficient",3,
"High Potential",4,
"Core",5,99)</f>
        <v>2</v>
      </c>
      <c r="T165" s="7" t="str" cm="1">
        <f t="array" ref="T165">_xlfn.SWITCH(tblSMB[[#This Row],[segment]],
"At Risk","48 hours",
"Ops Constrained","72 hours",
"Ad Inefficient","1 week",
"High Potential","1 week",
"Core","2 weeks","")</f>
        <v>72 hours</v>
      </c>
      <c r="U165" s="9" t="str">
        <f>IF(AND(tblSMB[[#This Row],[segment]]&lt;&gt;"Ad Inefficient",tblSMB[[#This Row],[roas]]&lt;10),"Check: Low ROAS not flagged","")</f>
        <v/>
      </c>
      <c r="V165" s="10" t="s">
        <v>46</v>
      </c>
      <c r="W165" s="10" t="s">
        <v>47</v>
      </c>
      <c r="X165" s="10" t="s">
        <v>48</v>
      </c>
      <c r="Y165" s="2"/>
      <c r="AA165" s="1"/>
    </row>
    <row r="166" spans="1:27" ht="34" x14ac:dyDescent="0.2">
      <c r="A166" s="1" t="s">
        <v>190</v>
      </c>
      <c r="B166" s="11">
        <v>46027</v>
      </c>
      <c r="C166" s="1" t="s">
        <v>79</v>
      </c>
      <c r="D166" s="1" t="s">
        <v>54</v>
      </c>
      <c r="E166">
        <v>248</v>
      </c>
      <c r="F166">
        <v>12753.65</v>
      </c>
      <c r="G166">
        <v>825</v>
      </c>
      <c r="H166" s="4">
        <v>-3.5090000000000003E-2</v>
      </c>
      <c r="I166" s="3">
        <v>4.8390000000000002E-2</v>
      </c>
      <c r="J166" s="3">
        <v>1.6129999999999999E-2</v>
      </c>
      <c r="K166">
        <v>43.47</v>
      </c>
      <c r="L166">
        <v>5</v>
      </c>
      <c r="M166">
        <v>39.28</v>
      </c>
      <c r="N166">
        <v>0.125</v>
      </c>
      <c r="O166" s="5">
        <v>40.585698778000001</v>
      </c>
      <c r="P166" s="6">
        <v>65</v>
      </c>
      <c r="Q166" s="1" t="s">
        <v>55</v>
      </c>
      <c r="R166" s="1" t="s">
        <v>45</v>
      </c>
      <c r="S166" s="7" cm="1">
        <f t="array" ref="S166">_xlfn.SWITCH(tblSMB[[#This Row],[segment]],
"At Risk",1,
"Ops Constrained",2,
"Ad Inefficient",3,
"High Potential",4,
"Core",5,99)</f>
        <v>2</v>
      </c>
      <c r="T166" s="7" t="str" cm="1">
        <f t="array" ref="T166">_xlfn.SWITCH(tblSMB[[#This Row],[segment]],
"At Risk","48 hours",
"Ops Constrained","72 hours",
"Ad Inefficient","1 week",
"High Potential","1 week",
"Core","2 weeks","")</f>
        <v>72 hours</v>
      </c>
      <c r="U166" s="9" t="str">
        <f>IF(AND(tblSMB[[#This Row],[segment]]&lt;&gt;"Ad Inefficient",tblSMB[[#This Row],[roas]]&lt;10),"Check: Low ROAS not flagged","")</f>
        <v/>
      </c>
      <c r="V166" s="10" t="s">
        <v>46</v>
      </c>
      <c r="W166" s="10" t="s">
        <v>47</v>
      </c>
      <c r="X166" s="10" t="s">
        <v>48</v>
      </c>
      <c r="Y166" s="2"/>
      <c r="AA166" s="1"/>
    </row>
    <row r="167" spans="1:27" ht="34" x14ac:dyDescent="0.2">
      <c r="A167" s="1" t="s">
        <v>222</v>
      </c>
      <c r="B167" s="11">
        <v>46027</v>
      </c>
      <c r="C167" s="1" t="s">
        <v>53</v>
      </c>
      <c r="D167" s="1" t="s">
        <v>31</v>
      </c>
      <c r="E167">
        <v>238</v>
      </c>
      <c r="F167">
        <v>4044.45</v>
      </c>
      <c r="G167">
        <v>1038</v>
      </c>
      <c r="H167" s="4">
        <v>1.17E-2</v>
      </c>
      <c r="I167" s="3">
        <v>5.042E-2</v>
      </c>
      <c r="J167" s="3">
        <v>2.521E-2</v>
      </c>
      <c r="K167">
        <v>24.15</v>
      </c>
      <c r="L167">
        <v>4.79</v>
      </c>
      <c r="M167">
        <v>53.35</v>
      </c>
      <c r="N167">
        <v>0.16807</v>
      </c>
      <c r="O167" s="5">
        <v>12.74113364574</v>
      </c>
      <c r="P167" s="6">
        <v>65</v>
      </c>
      <c r="Q167" s="1" t="s">
        <v>24</v>
      </c>
      <c r="R167" s="1" t="s">
        <v>168</v>
      </c>
      <c r="S167" s="7" cm="1">
        <f t="array" ref="S167">_xlfn.SWITCH(tblSMB[[#This Row],[segment]],
"At Risk",1,
"Ops Constrained",2,
"Ad Inefficient",3,
"High Potential",4,
"Core",5,99)</f>
        <v>3</v>
      </c>
      <c r="T167" s="7" t="str" cm="1">
        <f t="array" ref="T167">_xlfn.SWITCH(tblSMB[[#This Row],[segment]],
"At Risk","48 hours",
"Ops Constrained","72 hours",
"Ad Inefficient","1 week",
"High Potential","1 week",
"Core","2 weeks","")</f>
        <v>1 week</v>
      </c>
      <c r="U167" s="9" t="str">
        <f>IF(AND(tblSMB[[#This Row],[segment]]&lt;&gt;"Ad Inefficient",tblSMB[[#This Row],[roas]]&lt;10),"Check: Low ROAS not flagged","")</f>
        <v/>
      </c>
      <c r="V167" s="10" t="s">
        <v>169</v>
      </c>
      <c r="W167" s="10" t="s">
        <v>170</v>
      </c>
      <c r="X167" s="10" t="s">
        <v>171</v>
      </c>
      <c r="Y167" s="2"/>
      <c r="AA167" s="1"/>
    </row>
    <row r="168" spans="1:27" ht="34" x14ac:dyDescent="0.2">
      <c r="A168" s="1" t="s">
        <v>241</v>
      </c>
      <c r="B168" s="11">
        <v>46027</v>
      </c>
      <c r="C168" s="1" t="s">
        <v>50</v>
      </c>
      <c r="D168" s="1" t="s">
        <v>58</v>
      </c>
      <c r="E168">
        <v>161</v>
      </c>
      <c r="F168">
        <v>3111.87</v>
      </c>
      <c r="G168">
        <v>576</v>
      </c>
      <c r="H168" s="4">
        <v>-5.1799999999999997E-3</v>
      </c>
      <c r="I168" s="3">
        <v>4.3479999999999998E-2</v>
      </c>
      <c r="J168" s="3">
        <v>2.4840000000000001E-2</v>
      </c>
      <c r="K168">
        <v>25.86</v>
      </c>
      <c r="L168">
        <v>4.76</v>
      </c>
      <c r="M168">
        <v>65.16</v>
      </c>
      <c r="N168">
        <v>0.17391000000000001</v>
      </c>
      <c r="O168" s="5">
        <v>8.3056289134399996</v>
      </c>
      <c r="P168" s="6">
        <v>65</v>
      </c>
      <c r="Q168" s="1" t="s">
        <v>100</v>
      </c>
      <c r="R168" s="1" t="s">
        <v>168</v>
      </c>
      <c r="S168" s="7" cm="1">
        <f t="array" ref="S168">_xlfn.SWITCH(tblSMB[[#This Row],[segment]],
"At Risk",1,
"Ops Constrained",2,
"Ad Inefficient",3,
"High Potential",4,
"Core",5,99)</f>
        <v>3</v>
      </c>
      <c r="T168" s="7" t="str" cm="1">
        <f t="array" ref="T168">_xlfn.SWITCH(tblSMB[[#This Row],[segment]],
"At Risk","48 hours",
"Ops Constrained","72 hours",
"Ad Inefficient","1 week",
"High Potential","1 week",
"Core","2 weeks","")</f>
        <v>1 week</v>
      </c>
      <c r="U168" s="9" t="str">
        <f>IF(AND(tblSMB[[#This Row],[segment]]&lt;&gt;"Ad Inefficient",tblSMB[[#This Row],[roas]]&lt;10),"Check: Low ROAS not flagged","")</f>
        <v/>
      </c>
      <c r="V168" s="10" t="s">
        <v>169</v>
      </c>
      <c r="W168" s="10" t="s">
        <v>170</v>
      </c>
      <c r="X168" s="10" t="s">
        <v>171</v>
      </c>
      <c r="Y168" s="2"/>
      <c r="AA168" s="1"/>
    </row>
    <row r="169" spans="1:27" ht="34" x14ac:dyDescent="0.2">
      <c r="A169" s="1" t="s">
        <v>135</v>
      </c>
      <c r="B169" s="11">
        <v>46027</v>
      </c>
      <c r="C169" s="1" t="s">
        <v>57</v>
      </c>
      <c r="D169" s="1" t="s">
        <v>58</v>
      </c>
      <c r="E169">
        <v>176</v>
      </c>
      <c r="F169">
        <v>3142.34</v>
      </c>
      <c r="G169">
        <v>667</v>
      </c>
      <c r="H169" s="4">
        <v>-5.2560000000000003E-2</v>
      </c>
      <c r="I169" s="3">
        <v>3.977E-2</v>
      </c>
      <c r="J169" s="3">
        <v>1.7049999999999999E-2</v>
      </c>
      <c r="K169">
        <v>30.23</v>
      </c>
      <c r="L169">
        <v>4.82</v>
      </c>
      <c r="M169">
        <v>25.65</v>
      </c>
      <c r="N169">
        <v>0.14205000000000001</v>
      </c>
      <c r="O169" s="5">
        <v>17.40175925926</v>
      </c>
      <c r="P169" s="6">
        <v>65</v>
      </c>
      <c r="Q169" s="1" t="s">
        <v>24</v>
      </c>
      <c r="R169" s="1" t="s">
        <v>32</v>
      </c>
      <c r="S169" s="7" cm="1">
        <f t="array" ref="S169">_xlfn.SWITCH(tblSMB[[#This Row],[segment]],
"At Risk",1,
"Ops Constrained",2,
"Ad Inefficient",3,
"High Potential",4,
"Core",5,99)</f>
        <v>4</v>
      </c>
      <c r="T169" s="7" t="str" cm="1">
        <f t="array" ref="T169">_xlfn.SWITCH(tblSMB[[#This Row],[segment]],
"At Risk","48 hours",
"Ops Constrained","72 hours",
"Ad Inefficient","1 week",
"High Potential","1 week",
"Core","2 weeks","")</f>
        <v>1 week</v>
      </c>
      <c r="U169" s="9" t="str">
        <f>IF(AND(tblSMB[[#This Row],[segment]]&lt;&gt;"Ad Inefficient",tblSMB[[#This Row],[roas]]&lt;10),"Check: Low ROAS not flagged","")</f>
        <v/>
      </c>
      <c r="V169" s="10" t="s">
        <v>33</v>
      </c>
      <c r="W169" s="10" t="s">
        <v>34</v>
      </c>
      <c r="X169" s="10" t="s">
        <v>35</v>
      </c>
      <c r="Y169" s="2"/>
      <c r="AA169" s="1"/>
    </row>
    <row r="170" spans="1:27" ht="34" x14ac:dyDescent="0.2">
      <c r="A170" s="1" t="s">
        <v>102</v>
      </c>
      <c r="B170" s="11">
        <v>46027</v>
      </c>
      <c r="C170" s="1" t="s">
        <v>273</v>
      </c>
      <c r="D170" s="1" t="s">
        <v>38</v>
      </c>
      <c r="E170">
        <v>93</v>
      </c>
      <c r="F170">
        <v>2481.35</v>
      </c>
      <c r="G170">
        <v>382</v>
      </c>
      <c r="H170" s="4">
        <v>-0.11369</v>
      </c>
      <c r="I170" s="3">
        <v>4.301E-2</v>
      </c>
      <c r="J170" s="3">
        <v>1.0749999999999999E-2</v>
      </c>
      <c r="K170">
        <v>25.99</v>
      </c>
      <c r="L170">
        <v>4.76</v>
      </c>
      <c r="M170">
        <v>17.690000000000001</v>
      </c>
      <c r="N170">
        <v>0.20430000000000001</v>
      </c>
      <c r="O170" s="5">
        <v>28.65700830978</v>
      </c>
      <c r="P170" s="6">
        <v>65</v>
      </c>
      <c r="Q170" s="1" t="s">
        <v>24</v>
      </c>
      <c r="R170" s="1" t="s">
        <v>25</v>
      </c>
      <c r="S170" s="7" cm="1">
        <f t="array" ref="S170">_xlfn.SWITCH(tblSMB[[#This Row],[segment]],
"At Risk",1,
"Ops Constrained",2,
"Ad Inefficient",3,
"High Potential",4,
"Core",5,99)</f>
        <v>5</v>
      </c>
      <c r="T170" s="7" t="str" cm="1">
        <f t="array" ref="T170">_xlfn.SWITCH(tblSMB[[#This Row],[segment]],
"At Risk","48 hours",
"Ops Constrained","72 hours",
"Ad Inefficient","1 week",
"High Potential","1 week",
"Core","2 weeks","")</f>
        <v>2 weeks</v>
      </c>
      <c r="U170" s="9" t="str">
        <f>IF(AND(tblSMB[[#This Row],[segment]]&lt;&gt;"Ad Inefficient",tblSMB[[#This Row],[roas]]&lt;10),"Check: Low ROAS not flagged","")</f>
        <v/>
      </c>
      <c r="V170" s="10" t="s">
        <v>26</v>
      </c>
      <c r="W170" s="10" t="s">
        <v>27</v>
      </c>
      <c r="X170" s="10" t="s">
        <v>28</v>
      </c>
      <c r="Y170" s="2"/>
      <c r="AA170" s="1"/>
    </row>
    <row r="171" spans="1:27" ht="34" x14ac:dyDescent="0.2">
      <c r="A171" s="1" t="s">
        <v>73</v>
      </c>
      <c r="B171" s="11">
        <v>46027</v>
      </c>
      <c r="C171" s="1" t="s">
        <v>68</v>
      </c>
      <c r="D171" s="1" t="s">
        <v>31</v>
      </c>
      <c r="E171">
        <v>123</v>
      </c>
      <c r="F171">
        <v>2018.8</v>
      </c>
      <c r="G171">
        <v>495</v>
      </c>
      <c r="H171" s="4">
        <v>-0.13005</v>
      </c>
      <c r="I171" s="3">
        <v>1.626E-2</v>
      </c>
      <c r="J171" s="3">
        <v>8.1300000000000001E-3</v>
      </c>
      <c r="K171">
        <v>22.56</v>
      </c>
      <c r="L171">
        <v>5</v>
      </c>
      <c r="M171">
        <v>11.26</v>
      </c>
      <c r="N171">
        <v>7.3169999999999999E-2</v>
      </c>
      <c r="O171" s="5">
        <v>13.118745293070001</v>
      </c>
      <c r="P171" s="6">
        <v>67</v>
      </c>
      <c r="Q171" s="1" t="s">
        <v>41</v>
      </c>
      <c r="R171" s="1" t="s">
        <v>32</v>
      </c>
      <c r="S171" s="7" cm="1">
        <f t="array" ref="S171">_xlfn.SWITCH(tblSMB[[#This Row],[segment]],
"At Risk",1,
"Ops Constrained",2,
"Ad Inefficient",3,
"High Potential",4,
"Core",5,99)</f>
        <v>4</v>
      </c>
      <c r="T171" s="7" t="str" cm="1">
        <f t="array" ref="T171">_xlfn.SWITCH(tblSMB[[#This Row],[segment]],
"At Risk","48 hours",
"Ops Constrained","72 hours",
"Ad Inefficient","1 week",
"High Potential","1 week",
"Core","2 weeks","")</f>
        <v>1 week</v>
      </c>
      <c r="U171" s="9" t="str">
        <f>IF(AND(tblSMB[[#This Row],[segment]]&lt;&gt;"Ad Inefficient",tblSMB[[#This Row],[roas]]&lt;10),"Check: Low ROAS not flagged","")</f>
        <v/>
      </c>
      <c r="V171" s="10" t="s">
        <v>33</v>
      </c>
      <c r="W171" s="10" t="s">
        <v>34</v>
      </c>
      <c r="X171" s="10" t="s">
        <v>35</v>
      </c>
      <c r="Y171" s="2"/>
      <c r="AA171" s="1"/>
    </row>
    <row r="172" spans="1:27" ht="34" x14ac:dyDescent="0.2">
      <c r="A172" s="1" t="s">
        <v>21</v>
      </c>
      <c r="B172" s="11">
        <v>46027</v>
      </c>
      <c r="C172" s="1" t="s">
        <v>22</v>
      </c>
      <c r="D172" s="1" t="s">
        <v>23</v>
      </c>
      <c r="E172">
        <v>152</v>
      </c>
      <c r="F172">
        <v>3264.75</v>
      </c>
      <c r="G172">
        <v>709</v>
      </c>
      <c r="H172" s="4">
        <v>3.959E-2</v>
      </c>
      <c r="I172" s="3">
        <v>4.6050000000000001E-2</v>
      </c>
      <c r="J172" s="3">
        <v>2.632E-2</v>
      </c>
      <c r="K172">
        <v>28.65</v>
      </c>
      <c r="L172">
        <v>4.51</v>
      </c>
      <c r="M172">
        <v>7.31</v>
      </c>
      <c r="N172">
        <v>9.8680000000000004E-2</v>
      </c>
      <c r="O172" s="5">
        <v>44.073771545829999</v>
      </c>
      <c r="P172" s="6">
        <v>67</v>
      </c>
      <c r="Q172" s="1" t="s">
        <v>24</v>
      </c>
      <c r="R172" s="1" t="s">
        <v>25</v>
      </c>
      <c r="S172" s="7" cm="1">
        <f t="array" ref="S172">_xlfn.SWITCH(tblSMB[[#This Row],[segment]],
"At Risk",1,
"Ops Constrained",2,
"Ad Inefficient",3,
"High Potential",4,
"Core",5,99)</f>
        <v>5</v>
      </c>
      <c r="T172" s="7" t="str" cm="1">
        <f t="array" ref="T172">_xlfn.SWITCH(tblSMB[[#This Row],[segment]],
"At Risk","48 hours",
"Ops Constrained","72 hours",
"Ad Inefficient","1 week",
"High Potential","1 week",
"Core","2 weeks","")</f>
        <v>2 weeks</v>
      </c>
      <c r="U172" s="9" t="str">
        <f>IF(AND(tblSMB[[#This Row],[segment]]&lt;&gt;"Ad Inefficient",tblSMB[[#This Row],[roas]]&lt;10),"Check: Low ROAS not flagged","")</f>
        <v/>
      </c>
      <c r="V172" s="10" t="s">
        <v>26</v>
      </c>
      <c r="W172" s="10" t="s">
        <v>27</v>
      </c>
      <c r="X172" s="10" t="s">
        <v>28</v>
      </c>
      <c r="Y172" s="2"/>
      <c r="AA172" s="1"/>
    </row>
    <row r="173" spans="1:27" ht="34" x14ac:dyDescent="0.2">
      <c r="A173" s="1" t="s">
        <v>39</v>
      </c>
      <c r="B173" s="11">
        <v>46027</v>
      </c>
      <c r="C173" s="1" t="s">
        <v>40</v>
      </c>
      <c r="D173" s="1" t="s">
        <v>31</v>
      </c>
      <c r="E173">
        <v>93</v>
      </c>
      <c r="F173">
        <v>1533.94</v>
      </c>
      <c r="G173">
        <v>397</v>
      </c>
      <c r="H173" s="4">
        <v>-0.13696</v>
      </c>
      <c r="I173" s="3">
        <v>4.301E-2</v>
      </c>
      <c r="J173" s="3">
        <v>1.0749999999999999E-2</v>
      </c>
      <c r="K173">
        <v>19.899999999999999</v>
      </c>
      <c r="L173">
        <v>5</v>
      </c>
      <c r="M173">
        <v>8.9</v>
      </c>
      <c r="N173">
        <v>0.17204</v>
      </c>
      <c r="O173" s="5">
        <v>29.652095280899999</v>
      </c>
      <c r="P173" s="6">
        <v>67</v>
      </c>
      <c r="Q173" s="1" t="s">
        <v>41</v>
      </c>
      <c r="R173" s="1" t="s">
        <v>25</v>
      </c>
      <c r="S173" s="7" cm="1">
        <f t="array" ref="S173">_xlfn.SWITCH(tblSMB[[#This Row],[segment]],
"At Risk",1,
"Ops Constrained",2,
"Ad Inefficient",3,
"High Potential",4,
"Core",5,99)</f>
        <v>5</v>
      </c>
      <c r="T173" s="7" t="str" cm="1">
        <f t="array" ref="T173">_xlfn.SWITCH(tblSMB[[#This Row],[segment]],
"At Risk","48 hours",
"Ops Constrained","72 hours",
"Ad Inefficient","1 week",
"High Potential","1 week",
"Core","2 weeks","")</f>
        <v>2 weeks</v>
      </c>
      <c r="U173" s="9" t="str">
        <f>IF(AND(tblSMB[[#This Row],[segment]]&lt;&gt;"Ad Inefficient",tblSMB[[#This Row],[roas]]&lt;10),"Check: Low ROAS not flagged","")</f>
        <v/>
      </c>
      <c r="V173" s="10" t="s">
        <v>26</v>
      </c>
      <c r="W173" s="10" t="s">
        <v>27</v>
      </c>
      <c r="X173" s="10" t="s">
        <v>28</v>
      </c>
      <c r="Y173" s="2"/>
      <c r="AA173" s="1"/>
    </row>
    <row r="174" spans="1:27" ht="34" x14ac:dyDescent="0.2">
      <c r="A174" s="1" t="s">
        <v>261</v>
      </c>
      <c r="B174" s="11">
        <v>46027</v>
      </c>
      <c r="C174" s="1" t="s">
        <v>57</v>
      </c>
      <c r="D174" s="1" t="s">
        <v>43</v>
      </c>
      <c r="E174">
        <v>314</v>
      </c>
      <c r="F174">
        <v>10081.16</v>
      </c>
      <c r="G174">
        <v>1123</v>
      </c>
      <c r="H174" s="4">
        <v>-8.0259999999999998E-2</v>
      </c>
      <c r="I174" s="3">
        <v>4.1399999999999999E-2</v>
      </c>
      <c r="J174" s="3">
        <v>1.274E-2</v>
      </c>
      <c r="K174">
        <v>23.75</v>
      </c>
      <c r="L174">
        <v>4.8899999999999997</v>
      </c>
      <c r="M174">
        <v>132.16999999999999</v>
      </c>
      <c r="N174">
        <v>0.16879</v>
      </c>
      <c r="O174" s="5">
        <v>12.87430631006</v>
      </c>
      <c r="P174" s="6">
        <v>68</v>
      </c>
      <c r="Q174" s="1" t="s">
        <v>24</v>
      </c>
      <c r="R174" s="1" t="s">
        <v>168</v>
      </c>
      <c r="S174" s="7" cm="1">
        <f t="array" ref="S174">_xlfn.SWITCH(tblSMB[[#This Row],[segment]],
"At Risk",1,
"Ops Constrained",2,
"Ad Inefficient",3,
"High Potential",4,
"Core",5,99)</f>
        <v>3</v>
      </c>
      <c r="T174" s="7" t="str" cm="1">
        <f t="array" ref="T174">_xlfn.SWITCH(tblSMB[[#This Row],[segment]],
"At Risk","48 hours",
"Ops Constrained","72 hours",
"Ad Inefficient","1 week",
"High Potential","1 week",
"Core","2 weeks","")</f>
        <v>1 week</v>
      </c>
      <c r="U174" s="9" t="str">
        <f>IF(AND(tblSMB[[#This Row],[segment]]&lt;&gt;"Ad Inefficient",tblSMB[[#This Row],[roas]]&lt;10),"Check: Low ROAS not flagged","")</f>
        <v/>
      </c>
      <c r="V174" s="10" t="s">
        <v>169</v>
      </c>
      <c r="W174" s="10" t="s">
        <v>170</v>
      </c>
      <c r="X174" s="10" t="s">
        <v>171</v>
      </c>
      <c r="Y174" s="2"/>
      <c r="AA174" s="1"/>
    </row>
    <row r="175" spans="1:27" ht="34" x14ac:dyDescent="0.2">
      <c r="A175" s="1" t="s">
        <v>97</v>
      </c>
      <c r="B175" s="11">
        <v>46027</v>
      </c>
      <c r="C175" s="1" t="s">
        <v>57</v>
      </c>
      <c r="D175" s="1" t="s">
        <v>38</v>
      </c>
      <c r="E175">
        <v>200</v>
      </c>
      <c r="F175">
        <v>5925.92</v>
      </c>
      <c r="G175">
        <v>755</v>
      </c>
      <c r="H175" s="4">
        <v>-1.821E-2</v>
      </c>
      <c r="I175" s="3">
        <v>0.03</v>
      </c>
      <c r="J175" s="3">
        <v>2.5000000000000001E-2</v>
      </c>
      <c r="K175">
        <v>30.97</v>
      </c>
      <c r="L175">
        <v>4.82</v>
      </c>
      <c r="M175">
        <v>16.760000000000002</v>
      </c>
      <c r="N175">
        <v>6.5000000000000002E-2</v>
      </c>
      <c r="O175" s="5">
        <v>22.982386634840001</v>
      </c>
      <c r="P175" s="6">
        <v>69</v>
      </c>
      <c r="Q175" s="1" t="s">
        <v>24</v>
      </c>
      <c r="R175" s="1" t="s">
        <v>32</v>
      </c>
      <c r="S175" s="7" cm="1">
        <f t="array" ref="S175">_xlfn.SWITCH(tblSMB[[#This Row],[segment]],
"At Risk",1,
"Ops Constrained",2,
"Ad Inefficient",3,
"High Potential",4,
"Core",5,99)</f>
        <v>4</v>
      </c>
      <c r="T175" s="7" t="str" cm="1">
        <f t="array" ref="T175">_xlfn.SWITCH(tblSMB[[#This Row],[segment]],
"At Risk","48 hours",
"Ops Constrained","72 hours",
"Ad Inefficient","1 week",
"High Potential","1 week",
"Core","2 weeks","")</f>
        <v>1 week</v>
      </c>
      <c r="U175" s="9" t="str">
        <f>IF(AND(tblSMB[[#This Row],[segment]]&lt;&gt;"Ad Inefficient",tblSMB[[#This Row],[roas]]&lt;10),"Check: Low ROAS not flagged","")</f>
        <v/>
      </c>
      <c r="V175" s="10" t="s">
        <v>33</v>
      </c>
      <c r="W175" s="10" t="s">
        <v>34</v>
      </c>
      <c r="X175" s="10" t="s">
        <v>35</v>
      </c>
      <c r="Y175" s="2"/>
      <c r="AA175" s="1"/>
    </row>
    <row r="176" spans="1:27" ht="34" x14ac:dyDescent="0.2">
      <c r="A176" s="1" t="s">
        <v>106</v>
      </c>
      <c r="B176" s="11">
        <v>46027</v>
      </c>
      <c r="C176" s="1" t="s">
        <v>22</v>
      </c>
      <c r="D176" s="1" t="s">
        <v>43</v>
      </c>
      <c r="E176">
        <v>205</v>
      </c>
      <c r="F176">
        <v>5991.25</v>
      </c>
      <c r="G176">
        <v>886</v>
      </c>
      <c r="H176" s="4">
        <v>-7.8039999999999998E-2</v>
      </c>
      <c r="I176" s="3">
        <v>3.9019999999999999E-2</v>
      </c>
      <c r="J176" s="3">
        <v>1.4630000000000001E-2</v>
      </c>
      <c r="K176">
        <v>28.93</v>
      </c>
      <c r="L176">
        <v>4.82</v>
      </c>
      <c r="M176">
        <v>18.34</v>
      </c>
      <c r="N176">
        <v>0.13658999999999999</v>
      </c>
      <c r="O176" s="5">
        <v>44.619251908400003</v>
      </c>
      <c r="P176" s="6">
        <v>69</v>
      </c>
      <c r="Q176" s="1" t="s">
        <v>24</v>
      </c>
      <c r="R176" s="1" t="s">
        <v>32</v>
      </c>
      <c r="S176" s="7" cm="1">
        <f t="array" ref="S176">_xlfn.SWITCH(tblSMB[[#This Row],[segment]],
"At Risk",1,
"Ops Constrained",2,
"Ad Inefficient",3,
"High Potential",4,
"Core",5,99)</f>
        <v>4</v>
      </c>
      <c r="T176" s="7" t="str" cm="1">
        <f t="array" ref="T176">_xlfn.SWITCH(tblSMB[[#This Row],[segment]],
"At Risk","48 hours",
"Ops Constrained","72 hours",
"Ad Inefficient","1 week",
"High Potential","1 week",
"Core","2 weeks","")</f>
        <v>1 week</v>
      </c>
      <c r="U176" s="9" t="str">
        <f>IF(AND(tblSMB[[#This Row],[segment]]&lt;&gt;"Ad Inefficient",tblSMB[[#This Row],[roas]]&lt;10),"Check: Low ROAS not flagged","")</f>
        <v/>
      </c>
      <c r="V176" s="10" t="s">
        <v>33</v>
      </c>
      <c r="W176" s="10" t="s">
        <v>34</v>
      </c>
      <c r="X176" s="10" t="s">
        <v>35</v>
      </c>
      <c r="Y176" s="2"/>
      <c r="AA176" s="1"/>
    </row>
    <row r="177" spans="1:27" ht="34" x14ac:dyDescent="0.2">
      <c r="A177" s="1" t="s">
        <v>112</v>
      </c>
      <c r="B177" s="11">
        <v>46027</v>
      </c>
      <c r="C177" s="1" t="s">
        <v>50</v>
      </c>
      <c r="D177" s="1" t="s">
        <v>43</v>
      </c>
      <c r="E177">
        <v>143</v>
      </c>
      <c r="F177">
        <v>4127.09</v>
      </c>
      <c r="G177">
        <v>498</v>
      </c>
      <c r="H177" s="4">
        <v>-8.6239999999999997E-2</v>
      </c>
      <c r="I177" s="3">
        <v>3.4970000000000001E-2</v>
      </c>
      <c r="J177" s="3">
        <v>1.3990000000000001E-2</v>
      </c>
      <c r="K177">
        <v>26.95</v>
      </c>
      <c r="L177">
        <v>4.7699999999999996</v>
      </c>
      <c r="M177">
        <v>19.68</v>
      </c>
      <c r="N177">
        <v>0.11189</v>
      </c>
      <c r="O177" s="5">
        <v>23.464039837400001</v>
      </c>
      <c r="P177" s="6">
        <v>69</v>
      </c>
      <c r="Q177" s="1" t="s">
        <v>24</v>
      </c>
      <c r="R177" s="1" t="s">
        <v>25</v>
      </c>
      <c r="S177" s="7" cm="1">
        <f t="array" ref="S177">_xlfn.SWITCH(tblSMB[[#This Row],[segment]],
"At Risk",1,
"Ops Constrained",2,
"Ad Inefficient",3,
"High Potential",4,
"Core",5,99)</f>
        <v>5</v>
      </c>
      <c r="T177" s="7" t="str" cm="1">
        <f t="array" ref="T177">_xlfn.SWITCH(tblSMB[[#This Row],[segment]],
"At Risk","48 hours",
"Ops Constrained","72 hours",
"Ad Inefficient","1 week",
"High Potential","1 week",
"Core","2 weeks","")</f>
        <v>2 weeks</v>
      </c>
      <c r="U177" s="9" t="str">
        <f>IF(AND(tblSMB[[#This Row],[segment]]&lt;&gt;"Ad Inefficient",tblSMB[[#This Row],[roas]]&lt;10),"Check: Low ROAS not flagged","")</f>
        <v/>
      </c>
      <c r="V177" s="10" t="s">
        <v>26</v>
      </c>
      <c r="W177" s="10" t="s">
        <v>27</v>
      </c>
      <c r="X177" s="10" t="s">
        <v>28</v>
      </c>
      <c r="Y177" s="2"/>
      <c r="AA177" s="1"/>
    </row>
    <row r="178" spans="1:27" ht="34" x14ac:dyDescent="0.2">
      <c r="A178" s="1" t="s">
        <v>194</v>
      </c>
      <c r="B178" s="11">
        <v>46027</v>
      </c>
      <c r="C178" s="1" t="s">
        <v>79</v>
      </c>
      <c r="D178" s="1" t="s">
        <v>31</v>
      </c>
      <c r="E178">
        <v>240</v>
      </c>
      <c r="F178">
        <v>3930.48</v>
      </c>
      <c r="G178">
        <v>793</v>
      </c>
      <c r="H178" s="4">
        <v>-3.175E-2</v>
      </c>
      <c r="I178" s="3">
        <v>4.5830000000000003E-2</v>
      </c>
      <c r="J178" s="3">
        <v>2.0830000000000001E-2</v>
      </c>
      <c r="K178">
        <v>25.81</v>
      </c>
      <c r="L178">
        <v>4.99</v>
      </c>
      <c r="M178">
        <v>41.04</v>
      </c>
      <c r="N178">
        <v>0.17917</v>
      </c>
      <c r="O178" s="5">
        <v>17.159137426899999</v>
      </c>
      <c r="P178" s="6">
        <v>69</v>
      </c>
      <c r="Q178" s="1" t="s">
        <v>24</v>
      </c>
      <c r="R178" s="1" t="s">
        <v>25</v>
      </c>
      <c r="S178" s="7" cm="1">
        <f t="array" ref="S178">_xlfn.SWITCH(tblSMB[[#This Row],[segment]],
"At Risk",1,
"Ops Constrained",2,
"Ad Inefficient",3,
"High Potential",4,
"Core",5,99)</f>
        <v>5</v>
      </c>
      <c r="T178" s="7" t="str" cm="1">
        <f t="array" ref="T178">_xlfn.SWITCH(tblSMB[[#This Row],[segment]],
"At Risk","48 hours",
"Ops Constrained","72 hours",
"Ad Inefficient","1 week",
"High Potential","1 week",
"Core","2 weeks","")</f>
        <v>2 weeks</v>
      </c>
      <c r="U178" s="9" t="str">
        <f>IF(AND(tblSMB[[#This Row],[segment]]&lt;&gt;"Ad Inefficient",tblSMB[[#This Row],[roas]]&lt;10),"Check: Low ROAS not flagged","")</f>
        <v/>
      </c>
      <c r="V178" s="10" t="s">
        <v>26</v>
      </c>
      <c r="W178" s="10" t="s">
        <v>27</v>
      </c>
      <c r="X178" s="10" t="s">
        <v>28</v>
      </c>
      <c r="Y178" s="2"/>
      <c r="AA178" s="1"/>
    </row>
    <row r="179" spans="1:27" ht="34" x14ac:dyDescent="0.2">
      <c r="A179" s="1" t="s">
        <v>240</v>
      </c>
      <c r="B179" s="11">
        <v>46027</v>
      </c>
      <c r="C179" s="1" t="s">
        <v>79</v>
      </c>
      <c r="D179" s="1" t="s">
        <v>23</v>
      </c>
      <c r="E179">
        <v>227</v>
      </c>
      <c r="F179">
        <v>5495.9</v>
      </c>
      <c r="G179">
        <v>784</v>
      </c>
      <c r="H179" s="4">
        <v>-2.7300000000000001E-2</v>
      </c>
      <c r="I179" s="3">
        <v>3.524E-2</v>
      </c>
      <c r="J179" s="3">
        <v>1.762E-2</v>
      </c>
      <c r="K179">
        <v>29.84</v>
      </c>
      <c r="L179">
        <v>4.99</v>
      </c>
      <c r="M179">
        <v>65.010000000000005</v>
      </c>
      <c r="N179">
        <v>0.14537</v>
      </c>
      <c r="O179" s="5">
        <v>12.289854314719999</v>
      </c>
      <c r="P179" s="6">
        <v>70</v>
      </c>
      <c r="Q179" s="1" t="s">
        <v>100</v>
      </c>
      <c r="R179" s="1" t="s">
        <v>168</v>
      </c>
      <c r="S179" s="7" cm="1">
        <f t="array" ref="S179">_xlfn.SWITCH(tblSMB[[#This Row],[segment]],
"At Risk",1,
"Ops Constrained",2,
"Ad Inefficient",3,
"High Potential",4,
"Core",5,99)</f>
        <v>3</v>
      </c>
      <c r="T179" s="7" t="str" cm="1">
        <f t="array" ref="T179">_xlfn.SWITCH(tblSMB[[#This Row],[segment]],
"At Risk","48 hours",
"Ops Constrained","72 hours",
"Ad Inefficient","1 week",
"High Potential","1 week",
"Core","2 weeks","")</f>
        <v>1 week</v>
      </c>
      <c r="U179" s="9" t="str">
        <f>IF(AND(tblSMB[[#This Row],[segment]]&lt;&gt;"Ad Inefficient",tblSMB[[#This Row],[roas]]&lt;10),"Check: Low ROAS not flagged","")</f>
        <v/>
      </c>
      <c r="V179" s="10" t="s">
        <v>169</v>
      </c>
      <c r="W179" s="10" t="s">
        <v>170</v>
      </c>
      <c r="X179" s="10" t="s">
        <v>171</v>
      </c>
      <c r="Y179" s="2"/>
      <c r="AA179" s="1"/>
    </row>
    <row r="180" spans="1:27" ht="34" x14ac:dyDescent="0.2">
      <c r="A180" s="1" t="s">
        <v>218</v>
      </c>
      <c r="B180" s="11">
        <v>46027</v>
      </c>
      <c r="C180" s="1" t="s">
        <v>57</v>
      </c>
      <c r="D180" s="1" t="s">
        <v>58</v>
      </c>
      <c r="E180">
        <v>233</v>
      </c>
      <c r="F180">
        <v>4088.31</v>
      </c>
      <c r="G180">
        <v>959</v>
      </c>
      <c r="H180" s="4">
        <v>-2.7380000000000002E-2</v>
      </c>
      <c r="I180" s="3">
        <v>2.5749999999999999E-2</v>
      </c>
      <c r="J180" s="3">
        <v>1.7170000000000001E-2</v>
      </c>
      <c r="K180">
        <v>28.01</v>
      </c>
      <c r="L180">
        <v>4.83</v>
      </c>
      <c r="M180">
        <v>52.04</v>
      </c>
      <c r="N180">
        <v>0.10730000000000001</v>
      </c>
      <c r="O180" s="5">
        <v>8.4292827632599998</v>
      </c>
      <c r="P180" s="6">
        <v>72</v>
      </c>
      <c r="Q180" s="1" t="s">
        <v>100</v>
      </c>
      <c r="R180" s="1" t="s">
        <v>168</v>
      </c>
      <c r="S180" s="7" cm="1">
        <f t="array" ref="S180">_xlfn.SWITCH(tblSMB[[#This Row],[segment]],
"At Risk",1,
"Ops Constrained",2,
"Ad Inefficient",3,
"High Potential",4,
"Core",5,99)</f>
        <v>3</v>
      </c>
      <c r="T180" s="7" t="str" cm="1">
        <f t="array" ref="T180">_xlfn.SWITCH(tblSMB[[#This Row],[segment]],
"At Risk","48 hours",
"Ops Constrained","72 hours",
"Ad Inefficient","1 week",
"High Potential","1 week",
"Core","2 weeks","")</f>
        <v>1 week</v>
      </c>
      <c r="U180" s="9" t="str">
        <f>IF(AND(tblSMB[[#This Row],[segment]]&lt;&gt;"Ad Inefficient",tblSMB[[#This Row],[roas]]&lt;10),"Check: Low ROAS not flagged","")</f>
        <v/>
      </c>
      <c r="V180" s="10" t="s">
        <v>169</v>
      </c>
      <c r="W180" s="10" t="s">
        <v>170</v>
      </c>
      <c r="X180" s="10" t="s">
        <v>171</v>
      </c>
      <c r="Y180" s="2"/>
      <c r="AA180" s="1"/>
    </row>
    <row r="181" spans="1:27" ht="34" x14ac:dyDescent="0.2">
      <c r="A181" s="1" t="s">
        <v>76</v>
      </c>
      <c r="B181" s="11">
        <v>46027</v>
      </c>
      <c r="C181" s="1" t="s">
        <v>68</v>
      </c>
      <c r="D181" s="1" t="s">
        <v>38</v>
      </c>
      <c r="E181">
        <v>130</v>
      </c>
      <c r="F181">
        <v>4087.72</v>
      </c>
      <c r="G181">
        <v>536</v>
      </c>
      <c r="H181" s="4">
        <v>-0.12418</v>
      </c>
      <c r="I181" s="3">
        <v>2.308E-2</v>
      </c>
      <c r="J181" s="3">
        <v>1.538E-2</v>
      </c>
      <c r="K181">
        <v>23.32</v>
      </c>
      <c r="L181">
        <v>5</v>
      </c>
      <c r="M181">
        <v>11.76</v>
      </c>
      <c r="N181">
        <v>0.1</v>
      </c>
      <c r="O181" s="5">
        <v>34.759523809519997</v>
      </c>
      <c r="P181" s="6">
        <v>72</v>
      </c>
      <c r="Q181" s="1" t="s">
        <v>41</v>
      </c>
      <c r="R181" s="1" t="s">
        <v>32</v>
      </c>
      <c r="S181" s="7" cm="1">
        <f t="array" ref="S181">_xlfn.SWITCH(tblSMB[[#This Row],[segment]],
"At Risk",1,
"Ops Constrained",2,
"Ad Inefficient",3,
"High Potential",4,
"Core",5,99)</f>
        <v>4</v>
      </c>
      <c r="T181" s="7" t="str" cm="1">
        <f t="array" ref="T181">_xlfn.SWITCH(tblSMB[[#This Row],[segment]],
"At Risk","48 hours",
"Ops Constrained","72 hours",
"Ad Inefficient","1 week",
"High Potential","1 week",
"Core","2 weeks","")</f>
        <v>1 week</v>
      </c>
      <c r="U181" s="9" t="str">
        <f>IF(AND(tblSMB[[#This Row],[segment]]&lt;&gt;"Ad Inefficient",tblSMB[[#This Row],[roas]]&lt;10),"Check: Low ROAS not flagged","")</f>
        <v/>
      </c>
      <c r="V181" s="10" t="s">
        <v>33</v>
      </c>
      <c r="W181" s="10" t="s">
        <v>34</v>
      </c>
      <c r="X181" s="10" t="s">
        <v>35</v>
      </c>
      <c r="Y181" s="2"/>
      <c r="AA181" s="1"/>
    </row>
    <row r="182" spans="1:27" ht="34" x14ac:dyDescent="0.2">
      <c r="A182" s="1" t="s">
        <v>99</v>
      </c>
      <c r="B182" s="11">
        <v>46027</v>
      </c>
      <c r="C182" s="1" t="s">
        <v>79</v>
      </c>
      <c r="D182" s="1" t="s">
        <v>31</v>
      </c>
      <c r="E182">
        <v>82</v>
      </c>
      <c r="F182">
        <v>1323.36</v>
      </c>
      <c r="G182">
        <v>335</v>
      </c>
      <c r="H182" s="4">
        <v>-4.2860000000000002E-2</v>
      </c>
      <c r="I182" s="3">
        <v>2.4389999999999998E-2</v>
      </c>
      <c r="J182" s="3">
        <v>2.4389999999999998E-2</v>
      </c>
      <c r="K182">
        <v>20.49</v>
      </c>
      <c r="L182">
        <v>4.96</v>
      </c>
      <c r="M182">
        <v>17.14</v>
      </c>
      <c r="N182">
        <v>0.10976</v>
      </c>
      <c r="O182" s="5">
        <v>8.4741442823799993</v>
      </c>
      <c r="P182" s="6">
        <v>72</v>
      </c>
      <c r="Q182" s="1" t="s">
        <v>100</v>
      </c>
      <c r="R182" s="1" t="s">
        <v>32</v>
      </c>
      <c r="S182" s="7" cm="1">
        <f t="array" ref="S182">_xlfn.SWITCH(tblSMB[[#This Row],[segment]],
"At Risk",1,
"Ops Constrained",2,
"Ad Inefficient",3,
"High Potential",4,
"Core",5,99)</f>
        <v>4</v>
      </c>
      <c r="T182" s="7" t="str" cm="1">
        <f t="array" ref="T182">_xlfn.SWITCH(tblSMB[[#This Row],[segment]],
"At Risk","48 hours",
"Ops Constrained","72 hours",
"Ad Inefficient","1 week",
"High Potential","1 week",
"Core","2 weeks","")</f>
        <v>1 week</v>
      </c>
      <c r="U182" s="9" t="str">
        <f>IF(AND(tblSMB[[#This Row],[segment]]&lt;&gt;"Ad Inefficient",tblSMB[[#This Row],[roas]]&lt;10),"Check: Low ROAS not flagged","")</f>
        <v>Check: Low ROAS not flagged</v>
      </c>
      <c r="V182" s="10" t="s">
        <v>33</v>
      </c>
      <c r="W182" s="10" t="s">
        <v>34</v>
      </c>
      <c r="X182" s="10" t="s">
        <v>35</v>
      </c>
      <c r="Y182" s="2"/>
      <c r="AA182" s="1"/>
    </row>
    <row r="183" spans="1:27" ht="34" x14ac:dyDescent="0.2">
      <c r="A183" s="1" t="s">
        <v>115</v>
      </c>
      <c r="B183" s="11">
        <v>46027</v>
      </c>
      <c r="C183" s="1" t="s">
        <v>53</v>
      </c>
      <c r="D183" s="1" t="s">
        <v>31</v>
      </c>
      <c r="E183">
        <v>210</v>
      </c>
      <c r="F183">
        <v>3186.86</v>
      </c>
      <c r="G183">
        <v>893</v>
      </c>
      <c r="H183" s="4">
        <v>-8.1280000000000005E-2</v>
      </c>
      <c r="I183" s="3">
        <v>2.3810000000000001E-2</v>
      </c>
      <c r="J183" s="3">
        <v>1.9050000000000001E-2</v>
      </c>
      <c r="K183">
        <v>21.62</v>
      </c>
      <c r="L183">
        <v>4.9000000000000004</v>
      </c>
      <c r="M183">
        <v>20.65</v>
      </c>
      <c r="N183">
        <v>9.0480000000000005E-2</v>
      </c>
      <c r="O183" s="5">
        <v>13.96295186441</v>
      </c>
      <c r="P183" s="6">
        <v>72</v>
      </c>
      <c r="Q183" s="1" t="s">
        <v>24</v>
      </c>
      <c r="R183" s="1" t="s">
        <v>32</v>
      </c>
      <c r="S183" s="7" cm="1">
        <f t="array" ref="S183">_xlfn.SWITCH(tblSMB[[#This Row],[segment]],
"At Risk",1,
"Ops Constrained",2,
"Ad Inefficient",3,
"High Potential",4,
"Core",5,99)</f>
        <v>4</v>
      </c>
      <c r="T183" s="7" t="str" cm="1">
        <f t="array" ref="T183">_xlfn.SWITCH(tblSMB[[#This Row],[segment]],
"At Risk","48 hours",
"Ops Constrained","72 hours",
"Ad Inefficient","1 week",
"High Potential","1 week",
"Core","2 weeks","")</f>
        <v>1 week</v>
      </c>
      <c r="U183" s="9" t="str">
        <f>IF(AND(tblSMB[[#This Row],[segment]]&lt;&gt;"Ad Inefficient",tblSMB[[#This Row],[roas]]&lt;10),"Check: Low ROAS not flagged","")</f>
        <v/>
      </c>
      <c r="V183" s="10" t="s">
        <v>33</v>
      </c>
      <c r="W183" s="10" t="s">
        <v>34</v>
      </c>
      <c r="X183" s="10" t="s">
        <v>35</v>
      </c>
      <c r="Y183" s="2"/>
      <c r="AA183" s="1"/>
    </row>
    <row r="184" spans="1:27" ht="34" x14ac:dyDescent="0.2">
      <c r="A184" s="1" t="s">
        <v>192</v>
      </c>
      <c r="B184" s="11">
        <v>46027</v>
      </c>
      <c r="C184" s="1" t="s">
        <v>79</v>
      </c>
      <c r="D184" s="1" t="s">
        <v>31</v>
      </c>
      <c r="E184">
        <v>131</v>
      </c>
      <c r="F184">
        <v>2071.6999999999998</v>
      </c>
      <c r="G184">
        <v>460</v>
      </c>
      <c r="H184" s="4">
        <v>-4.1669999999999999E-2</v>
      </c>
      <c r="I184" s="3">
        <v>3.0530000000000002E-2</v>
      </c>
      <c r="J184" s="3">
        <v>1.5270000000000001E-2</v>
      </c>
      <c r="K184">
        <v>25.13</v>
      </c>
      <c r="L184">
        <v>4.92</v>
      </c>
      <c r="M184">
        <v>39.47</v>
      </c>
      <c r="N184">
        <v>0.12214</v>
      </c>
      <c r="O184" s="5">
        <v>6.4107439574400003</v>
      </c>
      <c r="P184" s="6">
        <v>74</v>
      </c>
      <c r="Q184" s="1" t="s">
        <v>100</v>
      </c>
      <c r="R184" s="1" t="s">
        <v>168</v>
      </c>
      <c r="S184" s="7" cm="1">
        <f t="array" ref="S184">_xlfn.SWITCH(tblSMB[[#This Row],[segment]],
"At Risk",1,
"Ops Constrained",2,
"Ad Inefficient",3,
"High Potential",4,
"Core",5,99)</f>
        <v>3</v>
      </c>
      <c r="T184" s="7" t="str" cm="1">
        <f t="array" ref="T184">_xlfn.SWITCH(tblSMB[[#This Row],[segment]],
"At Risk","48 hours",
"Ops Constrained","72 hours",
"Ad Inefficient","1 week",
"High Potential","1 week",
"Core","2 weeks","")</f>
        <v>1 week</v>
      </c>
      <c r="U184" s="9" t="str">
        <f>IF(AND(tblSMB[[#This Row],[segment]]&lt;&gt;"Ad Inefficient",tblSMB[[#This Row],[roas]]&lt;10),"Check: Low ROAS not flagged","")</f>
        <v/>
      </c>
      <c r="V184" s="10" t="s">
        <v>169</v>
      </c>
      <c r="W184" s="10" t="s">
        <v>170</v>
      </c>
      <c r="X184" s="10" t="s">
        <v>171</v>
      </c>
      <c r="Y184" s="2"/>
      <c r="AA184" s="1"/>
    </row>
    <row r="185" spans="1:27" ht="34" x14ac:dyDescent="0.2">
      <c r="A185" s="1" t="s">
        <v>101</v>
      </c>
      <c r="B185" s="11">
        <v>46027</v>
      </c>
      <c r="C185" s="1" t="s">
        <v>22</v>
      </c>
      <c r="D185" s="1" t="s">
        <v>38</v>
      </c>
      <c r="E185">
        <v>128</v>
      </c>
      <c r="F185">
        <v>4082.89</v>
      </c>
      <c r="G185">
        <v>427</v>
      </c>
      <c r="H185" s="4">
        <v>-4.4740000000000002E-2</v>
      </c>
      <c r="I185" s="3">
        <v>2.3439999999999999E-2</v>
      </c>
      <c r="J185" s="3">
        <v>1.5630000000000002E-2</v>
      </c>
      <c r="K185">
        <v>32.01</v>
      </c>
      <c r="L185">
        <v>5</v>
      </c>
      <c r="M185">
        <v>17.14</v>
      </c>
      <c r="N185">
        <v>0.10156</v>
      </c>
      <c r="O185" s="5">
        <v>24.193028821470001</v>
      </c>
      <c r="P185" s="6">
        <v>74</v>
      </c>
      <c r="Q185" s="1" t="s">
        <v>24</v>
      </c>
      <c r="R185" s="1" t="s">
        <v>32</v>
      </c>
      <c r="S185" s="7" cm="1">
        <f t="array" ref="S185">_xlfn.SWITCH(tblSMB[[#This Row],[segment]],
"At Risk",1,
"Ops Constrained",2,
"Ad Inefficient",3,
"High Potential",4,
"Core",5,99)</f>
        <v>4</v>
      </c>
      <c r="T185" s="7" t="str" cm="1">
        <f t="array" ref="T185">_xlfn.SWITCH(tblSMB[[#This Row],[segment]],
"At Risk","48 hours",
"Ops Constrained","72 hours",
"Ad Inefficient","1 week",
"High Potential","1 week",
"Core","2 weeks","")</f>
        <v>1 week</v>
      </c>
      <c r="U185" s="9" t="str">
        <f>IF(AND(tblSMB[[#This Row],[segment]]&lt;&gt;"Ad Inefficient",tblSMB[[#This Row],[roas]]&lt;10),"Check: Low ROAS not flagged","")</f>
        <v/>
      </c>
      <c r="V185" s="10" t="s">
        <v>33</v>
      </c>
      <c r="W185" s="10" t="s">
        <v>34</v>
      </c>
      <c r="X185" s="10" t="s">
        <v>35</v>
      </c>
      <c r="Y185" s="2"/>
      <c r="AA185" s="1"/>
    </row>
    <row r="186" spans="1:27" ht="34" x14ac:dyDescent="0.2">
      <c r="A186" s="1" t="s">
        <v>36</v>
      </c>
      <c r="B186" s="11">
        <v>46027</v>
      </c>
      <c r="C186" s="1" t="s">
        <v>37</v>
      </c>
      <c r="D186" s="1" t="s">
        <v>38</v>
      </c>
      <c r="E186">
        <v>111</v>
      </c>
      <c r="F186">
        <v>3310.33</v>
      </c>
      <c r="G186">
        <v>389</v>
      </c>
      <c r="H186" s="4">
        <v>-8.899E-2</v>
      </c>
      <c r="I186" s="3">
        <v>3.6040000000000003E-2</v>
      </c>
      <c r="J186" s="3">
        <v>9.0100000000000006E-3</v>
      </c>
      <c r="K186">
        <v>26.08</v>
      </c>
      <c r="L186">
        <v>5</v>
      </c>
      <c r="M186">
        <v>8.86</v>
      </c>
      <c r="N186">
        <v>0.15315000000000001</v>
      </c>
      <c r="O186" s="5">
        <v>57.22206331828</v>
      </c>
      <c r="P186" s="6">
        <v>75</v>
      </c>
      <c r="Q186" s="1" t="s">
        <v>24</v>
      </c>
      <c r="R186" s="1" t="s">
        <v>25</v>
      </c>
      <c r="S186" s="7" cm="1">
        <f t="array" ref="S186">_xlfn.SWITCH(tblSMB[[#This Row],[segment]],
"At Risk",1,
"Ops Constrained",2,
"Ad Inefficient",3,
"High Potential",4,
"Core",5,99)</f>
        <v>5</v>
      </c>
      <c r="T186" s="7" t="str" cm="1">
        <f t="array" ref="T186">_xlfn.SWITCH(tblSMB[[#This Row],[segment]],
"At Risk","48 hours",
"Ops Constrained","72 hours",
"Ad Inefficient","1 week",
"High Potential","1 week",
"Core","2 weeks","")</f>
        <v>2 weeks</v>
      </c>
      <c r="U186" s="9" t="str">
        <f>IF(AND(tblSMB[[#This Row],[segment]]&lt;&gt;"Ad Inefficient",tblSMB[[#This Row],[roas]]&lt;10),"Check: Low ROAS not flagged","")</f>
        <v/>
      </c>
      <c r="V186" s="10" t="s">
        <v>26</v>
      </c>
      <c r="W186" s="10" t="s">
        <v>27</v>
      </c>
      <c r="X186" s="10" t="s">
        <v>28</v>
      </c>
      <c r="Y186" s="2"/>
      <c r="AA186" s="1"/>
    </row>
    <row r="187" spans="1:27" ht="34" x14ac:dyDescent="0.2">
      <c r="A187" s="1" t="s">
        <v>87</v>
      </c>
      <c r="B187" s="11">
        <v>46027</v>
      </c>
      <c r="C187" s="1" t="s">
        <v>30</v>
      </c>
      <c r="D187" s="1" t="s">
        <v>31</v>
      </c>
      <c r="E187">
        <v>237</v>
      </c>
      <c r="F187">
        <v>3562.47</v>
      </c>
      <c r="G187">
        <v>858</v>
      </c>
      <c r="H187" s="4">
        <v>-4.5609999999999998E-2</v>
      </c>
      <c r="I187" s="3">
        <v>4.2189999999999998E-2</v>
      </c>
      <c r="J187" s="3">
        <v>1.6879999999999999E-2</v>
      </c>
      <c r="K187">
        <v>24.29</v>
      </c>
      <c r="L187">
        <v>4.8499999999999996</v>
      </c>
      <c r="M187">
        <v>14.35</v>
      </c>
      <c r="N187">
        <v>0.13502</v>
      </c>
      <c r="O187" s="5">
        <v>33.519763623689997</v>
      </c>
      <c r="P187" s="6">
        <v>76</v>
      </c>
      <c r="Q187" s="1" t="s">
        <v>24</v>
      </c>
      <c r="R187" s="1" t="s">
        <v>32</v>
      </c>
      <c r="S187" s="7" cm="1">
        <f t="array" ref="S187">_xlfn.SWITCH(tblSMB[[#This Row],[segment]],
"At Risk",1,
"Ops Constrained",2,
"Ad Inefficient",3,
"High Potential",4,
"Core",5,99)</f>
        <v>4</v>
      </c>
      <c r="T187" s="7" t="str" cm="1">
        <f t="array" ref="T187">_xlfn.SWITCH(tblSMB[[#This Row],[segment]],
"At Risk","48 hours",
"Ops Constrained","72 hours",
"Ad Inefficient","1 week",
"High Potential","1 week",
"Core","2 weeks","")</f>
        <v>1 week</v>
      </c>
      <c r="U187" s="9" t="str">
        <f>IF(AND(tblSMB[[#This Row],[segment]]&lt;&gt;"Ad Inefficient",tblSMB[[#This Row],[roas]]&lt;10),"Check: Low ROAS not flagged","")</f>
        <v/>
      </c>
      <c r="V187" s="10" t="s">
        <v>33</v>
      </c>
      <c r="W187" s="10" t="s">
        <v>34</v>
      </c>
      <c r="X187" s="10" t="s">
        <v>35</v>
      </c>
      <c r="Y187" s="2"/>
      <c r="AA187" s="1"/>
    </row>
    <row r="188" spans="1:27" ht="34" x14ac:dyDescent="0.2">
      <c r="A188" s="1" t="s">
        <v>141</v>
      </c>
      <c r="B188" s="11">
        <v>46027</v>
      </c>
      <c r="C188" s="1" t="s">
        <v>30</v>
      </c>
      <c r="D188" s="1" t="s">
        <v>23</v>
      </c>
      <c r="E188">
        <v>115</v>
      </c>
      <c r="F188">
        <v>2777.43</v>
      </c>
      <c r="G188">
        <v>423</v>
      </c>
      <c r="H188" s="4">
        <v>4.9630000000000001E-2</v>
      </c>
      <c r="I188" s="3">
        <v>4.3479999999999998E-2</v>
      </c>
      <c r="J188" s="3">
        <v>1.7389999999999999E-2</v>
      </c>
      <c r="K188">
        <v>26.73</v>
      </c>
      <c r="L188">
        <v>4.76</v>
      </c>
      <c r="M188">
        <v>26.58</v>
      </c>
      <c r="N188">
        <v>0.13042999999999999</v>
      </c>
      <c r="O188" s="5">
        <v>13.6295513544</v>
      </c>
      <c r="P188" s="6">
        <v>76</v>
      </c>
      <c r="Q188" s="1" t="s">
        <v>24</v>
      </c>
      <c r="R188" s="1" t="s">
        <v>25</v>
      </c>
      <c r="S188" s="7" cm="1">
        <f t="array" ref="S188">_xlfn.SWITCH(tblSMB[[#This Row],[segment]],
"At Risk",1,
"Ops Constrained",2,
"Ad Inefficient",3,
"High Potential",4,
"Core",5,99)</f>
        <v>5</v>
      </c>
      <c r="T188" s="7" t="str" cm="1">
        <f t="array" ref="T188">_xlfn.SWITCH(tblSMB[[#This Row],[segment]],
"At Risk","48 hours",
"Ops Constrained","72 hours",
"Ad Inefficient","1 week",
"High Potential","1 week",
"Core","2 weeks","")</f>
        <v>2 weeks</v>
      </c>
      <c r="U188" s="9" t="str">
        <f>IF(AND(tblSMB[[#This Row],[segment]]&lt;&gt;"Ad Inefficient",tblSMB[[#This Row],[roas]]&lt;10),"Check: Low ROAS not flagged","")</f>
        <v/>
      </c>
      <c r="V188" s="10" t="s">
        <v>26</v>
      </c>
      <c r="W188" s="10" t="s">
        <v>27</v>
      </c>
      <c r="X188" s="10" t="s">
        <v>28</v>
      </c>
      <c r="Y188" s="2"/>
      <c r="AA188" s="1"/>
    </row>
    <row r="189" spans="1:27" ht="34" x14ac:dyDescent="0.2">
      <c r="A189" s="1" t="s">
        <v>244</v>
      </c>
      <c r="B189" s="11">
        <v>46027</v>
      </c>
      <c r="C189" s="1" t="s">
        <v>68</v>
      </c>
      <c r="D189" s="1" t="s">
        <v>23</v>
      </c>
      <c r="E189">
        <v>171</v>
      </c>
      <c r="F189">
        <v>3591.58</v>
      </c>
      <c r="G189">
        <v>611</v>
      </c>
      <c r="H189" s="4">
        <v>5.1639999999999998E-2</v>
      </c>
      <c r="I189" s="3">
        <v>2.9239999999999999E-2</v>
      </c>
      <c r="J189" s="3">
        <v>1.754E-2</v>
      </c>
      <c r="K189">
        <v>27.46</v>
      </c>
      <c r="L189">
        <v>4.78</v>
      </c>
      <c r="M189">
        <v>72.010000000000005</v>
      </c>
      <c r="N189">
        <v>0.13450000000000001</v>
      </c>
      <c r="O189" s="5">
        <v>6.70848515484</v>
      </c>
      <c r="P189" s="6">
        <v>77</v>
      </c>
      <c r="Q189" s="1" t="s">
        <v>100</v>
      </c>
      <c r="R189" s="1" t="s">
        <v>168</v>
      </c>
      <c r="S189" s="7" cm="1">
        <f t="array" ref="S189">_xlfn.SWITCH(tblSMB[[#This Row],[segment]],
"At Risk",1,
"Ops Constrained",2,
"Ad Inefficient",3,
"High Potential",4,
"Core",5,99)</f>
        <v>3</v>
      </c>
      <c r="T189" s="7" t="str" cm="1">
        <f t="array" ref="T189">_xlfn.SWITCH(tblSMB[[#This Row],[segment]],
"At Risk","48 hours",
"Ops Constrained","72 hours",
"Ad Inefficient","1 week",
"High Potential","1 week",
"Core","2 weeks","")</f>
        <v>1 week</v>
      </c>
      <c r="U189" s="9" t="str">
        <f>IF(AND(tblSMB[[#This Row],[segment]]&lt;&gt;"Ad Inefficient",tblSMB[[#This Row],[roas]]&lt;10),"Check: Low ROAS not flagged","")</f>
        <v/>
      </c>
      <c r="V189" s="10" t="s">
        <v>169</v>
      </c>
      <c r="W189" s="10" t="s">
        <v>170</v>
      </c>
      <c r="X189" s="10" t="s">
        <v>171</v>
      </c>
      <c r="Y189" s="2"/>
      <c r="AA189" s="1"/>
    </row>
    <row r="190" spans="1:27" ht="34" x14ac:dyDescent="0.2">
      <c r="A190" s="1" t="s">
        <v>95</v>
      </c>
      <c r="B190" s="11">
        <v>46027</v>
      </c>
      <c r="C190" s="1" t="s">
        <v>53</v>
      </c>
      <c r="D190" s="1" t="s">
        <v>31</v>
      </c>
      <c r="E190">
        <v>130</v>
      </c>
      <c r="F190">
        <v>2144.2199999999998</v>
      </c>
      <c r="G190">
        <v>582</v>
      </c>
      <c r="H190" s="4">
        <v>-4.4330000000000001E-2</v>
      </c>
      <c r="I190" s="3">
        <v>3.0769999999999999E-2</v>
      </c>
      <c r="J190" s="3">
        <v>1.538E-2</v>
      </c>
      <c r="K190">
        <v>25.07</v>
      </c>
      <c r="L190">
        <v>5</v>
      </c>
      <c r="M190">
        <v>16.5</v>
      </c>
      <c r="N190">
        <v>0.12307999999999999</v>
      </c>
      <c r="O190" s="5">
        <v>15.99418181818</v>
      </c>
      <c r="P190" s="6">
        <v>77</v>
      </c>
      <c r="Q190" s="1" t="s">
        <v>24</v>
      </c>
      <c r="R190" s="1" t="s">
        <v>32</v>
      </c>
      <c r="S190" s="7" cm="1">
        <f t="array" ref="S190">_xlfn.SWITCH(tblSMB[[#This Row],[segment]],
"At Risk",1,
"Ops Constrained",2,
"Ad Inefficient",3,
"High Potential",4,
"Core",5,99)</f>
        <v>4</v>
      </c>
      <c r="T190" s="7" t="str" cm="1">
        <f t="array" ref="T190">_xlfn.SWITCH(tblSMB[[#This Row],[segment]],
"At Risk","48 hours",
"Ops Constrained","72 hours",
"Ad Inefficient","1 week",
"High Potential","1 week",
"Core","2 weeks","")</f>
        <v>1 week</v>
      </c>
      <c r="U190" s="9" t="str">
        <f>IF(AND(tblSMB[[#This Row],[segment]]&lt;&gt;"Ad Inefficient",tblSMB[[#This Row],[roas]]&lt;10),"Check: Low ROAS not flagged","")</f>
        <v/>
      </c>
      <c r="V190" s="10" t="s">
        <v>33</v>
      </c>
      <c r="W190" s="10" t="s">
        <v>34</v>
      </c>
      <c r="X190" s="10" t="s">
        <v>35</v>
      </c>
      <c r="Y190" s="2"/>
      <c r="AA190" s="1"/>
    </row>
    <row r="191" spans="1:27" ht="34" x14ac:dyDescent="0.2">
      <c r="A191" s="1" t="s">
        <v>103</v>
      </c>
      <c r="B191" s="11">
        <v>46027</v>
      </c>
      <c r="C191" s="1" t="s">
        <v>273</v>
      </c>
      <c r="D191" s="1" t="s">
        <v>43</v>
      </c>
      <c r="E191">
        <v>155</v>
      </c>
      <c r="F191">
        <v>5522.46</v>
      </c>
      <c r="G191">
        <v>602</v>
      </c>
      <c r="H191" s="4">
        <v>8.3800000000000003E-3</v>
      </c>
      <c r="I191" s="3">
        <v>4.5159999999999999E-2</v>
      </c>
      <c r="J191" s="3">
        <v>1.29E-2</v>
      </c>
      <c r="K191">
        <v>28.98</v>
      </c>
      <c r="L191">
        <v>4.96</v>
      </c>
      <c r="M191">
        <v>17.73</v>
      </c>
      <c r="N191">
        <v>9.6769999999999995E-2</v>
      </c>
      <c r="O191" s="5">
        <v>30.142786802029999</v>
      </c>
      <c r="P191" s="6">
        <v>77</v>
      </c>
      <c r="Q191" s="1" t="s">
        <v>24</v>
      </c>
      <c r="R191" s="1" t="s">
        <v>32</v>
      </c>
      <c r="S191" s="7" cm="1">
        <f t="array" ref="S191">_xlfn.SWITCH(tblSMB[[#This Row],[segment]],
"At Risk",1,
"Ops Constrained",2,
"Ad Inefficient",3,
"High Potential",4,
"Core",5,99)</f>
        <v>4</v>
      </c>
      <c r="T191" s="7" t="str" cm="1">
        <f t="array" ref="T191">_xlfn.SWITCH(tblSMB[[#This Row],[segment]],
"At Risk","48 hours",
"Ops Constrained","72 hours",
"Ad Inefficient","1 week",
"High Potential","1 week",
"Core","2 weeks","")</f>
        <v>1 week</v>
      </c>
      <c r="U191" s="9" t="str">
        <f>IF(AND(tblSMB[[#This Row],[segment]]&lt;&gt;"Ad Inefficient",tblSMB[[#This Row],[roas]]&lt;10),"Check: Low ROAS not flagged","")</f>
        <v/>
      </c>
      <c r="V191" s="10" t="s">
        <v>33</v>
      </c>
      <c r="W191" s="10" t="s">
        <v>34</v>
      </c>
      <c r="X191" s="10" t="s">
        <v>35</v>
      </c>
      <c r="Y191" s="2"/>
      <c r="AA191" s="1"/>
    </row>
    <row r="192" spans="1:27" ht="34" x14ac:dyDescent="0.2">
      <c r="A192" s="1" t="s">
        <v>163</v>
      </c>
      <c r="B192" s="11">
        <v>46027</v>
      </c>
      <c r="C192" s="1" t="s">
        <v>68</v>
      </c>
      <c r="D192" s="1" t="s">
        <v>38</v>
      </c>
      <c r="E192">
        <v>175</v>
      </c>
      <c r="F192">
        <v>5549.74</v>
      </c>
      <c r="G192">
        <v>793</v>
      </c>
      <c r="H192" s="4">
        <v>-8.7459999999999996E-2</v>
      </c>
      <c r="I192" s="3">
        <v>2.2859999999999998E-2</v>
      </c>
      <c r="J192" s="3">
        <v>5.7099999999999998E-3</v>
      </c>
      <c r="K192">
        <v>23.78</v>
      </c>
      <c r="L192">
        <v>5</v>
      </c>
      <c r="M192">
        <v>32.64</v>
      </c>
      <c r="N192">
        <v>0.15429000000000001</v>
      </c>
      <c r="O192" s="5">
        <v>26.233014705879999</v>
      </c>
      <c r="P192" s="6">
        <v>78</v>
      </c>
      <c r="Q192" s="1" t="s">
        <v>24</v>
      </c>
      <c r="R192" s="1" t="s">
        <v>25</v>
      </c>
      <c r="S192" s="7" cm="1">
        <f t="array" ref="S192">_xlfn.SWITCH(tblSMB[[#This Row],[segment]],
"At Risk",1,
"Ops Constrained",2,
"Ad Inefficient",3,
"High Potential",4,
"Core",5,99)</f>
        <v>5</v>
      </c>
      <c r="T192" s="7" t="str" cm="1">
        <f t="array" ref="T192">_xlfn.SWITCH(tblSMB[[#This Row],[segment]],
"At Risk","48 hours",
"Ops Constrained","72 hours",
"Ad Inefficient","1 week",
"High Potential","1 week",
"Core","2 weeks","")</f>
        <v>2 weeks</v>
      </c>
      <c r="U192" s="9" t="str">
        <f>IF(AND(tblSMB[[#This Row],[segment]]&lt;&gt;"Ad Inefficient",tblSMB[[#This Row],[roas]]&lt;10),"Check: Low ROAS not flagged","")</f>
        <v/>
      </c>
      <c r="V192" s="10" t="s">
        <v>26</v>
      </c>
      <c r="W192" s="10" t="s">
        <v>27</v>
      </c>
      <c r="X192" s="10" t="s">
        <v>28</v>
      </c>
      <c r="Y192" s="2"/>
      <c r="AA192" s="1"/>
    </row>
    <row r="193" spans="1:27" ht="34" x14ac:dyDescent="0.2">
      <c r="A193" s="1" t="s">
        <v>254</v>
      </c>
      <c r="B193" s="11">
        <v>46027</v>
      </c>
      <c r="C193" s="1" t="s">
        <v>22</v>
      </c>
      <c r="D193" s="1" t="s">
        <v>38</v>
      </c>
      <c r="E193">
        <v>303</v>
      </c>
      <c r="F193">
        <v>7549.91</v>
      </c>
      <c r="G193">
        <v>1129</v>
      </c>
      <c r="H193" s="4">
        <v>1.6199999999999999E-2</v>
      </c>
      <c r="I193" s="3">
        <v>3.6299999999999999E-2</v>
      </c>
      <c r="J193" s="3">
        <v>1.6500000000000001E-2</v>
      </c>
      <c r="K193">
        <v>27.28</v>
      </c>
      <c r="L193">
        <v>4.79</v>
      </c>
      <c r="M193">
        <v>103.28</v>
      </c>
      <c r="N193">
        <v>0.22442000000000001</v>
      </c>
      <c r="O193" s="5">
        <v>16.40558927188</v>
      </c>
      <c r="P193" s="6">
        <v>78</v>
      </c>
      <c r="Q193" s="1" t="s">
        <v>24</v>
      </c>
      <c r="R193" s="1" t="s">
        <v>25</v>
      </c>
      <c r="S193" s="7" cm="1">
        <f t="array" ref="S193">_xlfn.SWITCH(tblSMB[[#This Row],[segment]],
"At Risk",1,
"Ops Constrained",2,
"Ad Inefficient",3,
"High Potential",4,
"Core",5,99)</f>
        <v>5</v>
      </c>
      <c r="T193" s="7" t="str" cm="1">
        <f t="array" ref="T193">_xlfn.SWITCH(tblSMB[[#This Row],[segment]],
"At Risk","48 hours",
"Ops Constrained","72 hours",
"Ad Inefficient","1 week",
"High Potential","1 week",
"Core","2 weeks","")</f>
        <v>2 weeks</v>
      </c>
      <c r="U193" s="9" t="str">
        <f>IF(AND(tblSMB[[#This Row],[segment]]&lt;&gt;"Ad Inefficient",tblSMB[[#This Row],[roas]]&lt;10),"Check: Low ROAS not flagged","")</f>
        <v/>
      </c>
      <c r="V193" s="10" t="s">
        <v>26</v>
      </c>
      <c r="W193" s="10" t="s">
        <v>27</v>
      </c>
      <c r="X193" s="10" t="s">
        <v>28</v>
      </c>
      <c r="Y193" s="2"/>
      <c r="AA193" s="1"/>
    </row>
    <row r="194" spans="1:27" ht="34" x14ac:dyDescent="0.2">
      <c r="A194" s="1" t="s">
        <v>239</v>
      </c>
      <c r="B194" s="11">
        <v>46027</v>
      </c>
      <c r="C194" s="1" t="s">
        <v>53</v>
      </c>
      <c r="D194" s="1" t="s">
        <v>23</v>
      </c>
      <c r="E194">
        <v>183</v>
      </c>
      <c r="F194">
        <v>4046.53</v>
      </c>
      <c r="G194">
        <v>658</v>
      </c>
      <c r="H194" s="4">
        <v>-2.9499999999999998E-2</v>
      </c>
      <c r="I194" s="3">
        <v>2.7320000000000001E-2</v>
      </c>
      <c r="J194" s="3">
        <v>1.093E-2</v>
      </c>
      <c r="K194">
        <v>24.78</v>
      </c>
      <c r="L194">
        <v>4.97</v>
      </c>
      <c r="M194">
        <v>63.81</v>
      </c>
      <c r="N194">
        <v>0.1694</v>
      </c>
      <c r="O194" s="5">
        <v>10.7424818367</v>
      </c>
      <c r="P194" s="6">
        <v>79</v>
      </c>
      <c r="Q194" s="1" t="s">
        <v>100</v>
      </c>
      <c r="R194" s="1" t="s">
        <v>168</v>
      </c>
      <c r="S194" s="7" cm="1">
        <f t="array" ref="S194">_xlfn.SWITCH(tblSMB[[#This Row],[segment]],
"At Risk",1,
"Ops Constrained",2,
"Ad Inefficient",3,
"High Potential",4,
"Core",5,99)</f>
        <v>3</v>
      </c>
      <c r="T194" s="7" t="str" cm="1">
        <f t="array" ref="T194">_xlfn.SWITCH(tblSMB[[#This Row],[segment]],
"At Risk","48 hours",
"Ops Constrained","72 hours",
"Ad Inefficient","1 week",
"High Potential","1 week",
"Core","2 weeks","")</f>
        <v>1 week</v>
      </c>
      <c r="U194" s="9" t="str">
        <f>IF(AND(tblSMB[[#This Row],[segment]]&lt;&gt;"Ad Inefficient",tblSMB[[#This Row],[roas]]&lt;10),"Check: Low ROAS not flagged","")</f>
        <v/>
      </c>
      <c r="V194" s="10" t="s">
        <v>169</v>
      </c>
      <c r="W194" s="10" t="s">
        <v>170</v>
      </c>
      <c r="X194" s="10" t="s">
        <v>171</v>
      </c>
      <c r="Y194" s="2"/>
      <c r="AA194" s="1"/>
    </row>
    <row r="195" spans="1:27" ht="34" x14ac:dyDescent="0.2">
      <c r="A195" s="1" t="s">
        <v>51</v>
      </c>
      <c r="B195" s="11">
        <v>46027</v>
      </c>
      <c r="C195" s="1" t="s">
        <v>40</v>
      </c>
      <c r="D195" s="1" t="s">
        <v>31</v>
      </c>
      <c r="E195">
        <v>149</v>
      </c>
      <c r="F195">
        <v>2558.85</v>
      </c>
      <c r="G195">
        <v>557</v>
      </c>
      <c r="H195" s="4">
        <v>-3.5799999999999998E-3</v>
      </c>
      <c r="I195" s="3">
        <v>4.6980000000000001E-2</v>
      </c>
      <c r="J195" s="3">
        <v>2.0129999999999999E-2</v>
      </c>
      <c r="K195">
        <v>22.45</v>
      </c>
      <c r="L195">
        <v>4.99</v>
      </c>
      <c r="M195">
        <v>9.2200000000000006</v>
      </c>
      <c r="N195">
        <v>0.12751999999999999</v>
      </c>
      <c r="O195" s="5">
        <v>35.390055314530002</v>
      </c>
      <c r="P195" s="6">
        <v>79</v>
      </c>
      <c r="Q195" s="1" t="s">
        <v>24</v>
      </c>
      <c r="R195" s="1" t="s">
        <v>32</v>
      </c>
      <c r="S195" s="7" cm="1">
        <f t="array" ref="S195">_xlfn.SWITCH(tblSMB[[#This Row],[segment]],
"At Risk",1,
"Ops Constrained",2,
"Ad Inefficient",3,
"High Potential",4,
"Core",5,99)</f>
        <v>4</v>
      </c>
      <c r="T195" s="7" t="str" cm="1">
        <f t="array" ref="T195">_xlfn.SWITCH(tblSMB[[#This Row],[segment]],
"At Risk","48 hours",
"Ops Constrained","72 hours",
"Ad Inefficient","1 week",
"High Potential","1 week",
"Core","2 weeks","")</f>
        <v>1 week</v>
      </c>
      <c r="U195" s="9" t="str">
        <f>IF(AND(tblSMB[[#This Row],[segment]]&lt;&gt;"Ad Inefficient",tblSMB[[#This Row],[roas]]&lt;10),"Check: Low ROAS not flagged","")</f>
        <v/>
      </c>
      <c r="V195" s="10" t="s">
        <v>33</v>
      </c>
      <c r="W195" s="10" t="s">
        <v>34</v>
      </c>
      <c r="X195" s="10" t="s">
        <v>35</v>
      </c>
      <c r="Y195" s="2"/>
      <c r="AA195" s="1"/>
    </row>
    <row r="196" spans="1:27" ht="34" x14ac:dyDescent="0.2">
      <c r="A196" s="1" t="s">
        <v>66</v>
      </c>
      <c r="B196" s="11">
        <v>46027</v>
      </c>
      <c r="C196" s="1" t="s">
        <v>273</v>
      </c>
      <c r="D196" s="1" t="s">
        <v>58</v>
      </c>
      <c r="E196">
        <v>107</v>
      </c>
      <c r="F196">
        <v>2102.23</v>
      </c>
      <c r="G196">
        <v>389</v>
      </c>
      <c r="H196" s="4">
        <v>1.567E-2</v>
      </c>
      <c r="I196" s="3">
        <v>2.8039999999999999E-2</v>
      </c>
      <c r="J196" s="3">
        <v>1.8689999999999998E-2</v>
      </c>
      <c r="K196">
        <v>26.66</v>
      </c>
      <c r="L196">
        <v>4.91</v>
      </c>
      <c r="M196">
        <v>10.65</v>
      </c>
      <c r="N196">
        <v>8.4110000000000004E-2</v>
      </c>
      <c r="O196" s="5">
        <v>16.603106197180001</v>
      </c>
      <c r="P196" s="6">
        <v>80</v>
      </c>
      <c r="Q196" s="1" t="s">
        <v>24</v>
      </c>
      <c r="R196" s="1" t="s">
        <v>32</v>
      </c>
      <c r="S196" s="7" cm="1">
        <f t="array" ref="S196">_xlfn.SWITCH(tblSMB[[#This Row],[segment]],
"At Risk",1,
"Ops Constrained",2,
"Ad Inefficient",3,
"High Potential",4,
"Core",5,99)</f>
        <v>4</v>
      </c>
      <c r="T196" s="7" t="str" cm="1">
        <f t="array" ref="T196">_xlfn.SWITCH(tblSMB[[#This Row],[segment]],
"At Risk","48 hours",
"Ops Constrained","72 hours",
"Ad Inefficient","1 week",
"High Potential","1 week",
"Core","2 weeks","")</f>
        <v>1 week</v>
      </c>
      <c r="U196" s="9" t="str">
        <f>IF(AND(tblSMB[[#This Row],[segment]]&lt;&gt;"Ad Inefficient",tblSMB[[#This Row],[roas]]&lt;10),"Check: Low ROAS not flagged","")</f>
        <v/>
      </c>
      <c r="V196" s="10" t="s">
        <v>33</v>
      </c>
      <c r="W196" s="10" t="s">
        <v>34</v>
      </c>
      <c r="X196" s="10" t="s">
        <v>35</v>
      </c>
      <c r="Y196" s="2"/>
      <c r="AA196" s="1"/>
    </row>
    <row r="197" spans="1:27" ht="34" x14ac:dyDescent="0.2">
      <c r="A197" s="1" t="s">
        <v>133</v>
      </c>
      <c r="B197" s="11">
        <v>46027</v>
      </c>
      <c r="C197" s="1" t="s">
        <v>37</v>
      </c>
      <c r="D197" s="1" t="s">
        <v>58</v>
      </c>
      <c r="E197">
        <v>188</v>
      </c>
      <c r="F197">
        <v>3277.4</v>
      </c>
      <c r="G197">
        <v>725</v>
      </c>
      <c r="H197" s="4">
        <v>-1.8939999999999999E-2</v>
      </c>
      <c r="I197" s="3">
        <v>2.6599999999999999E-2</v>
      </c>
      <c r="J197" s="3">
        <v>1.064E-2</v>
      </c>
      <c r="K197">
        <v>24.06</v>
      </c>
      <c r="L197">
        <v>4.8499999999999996</v>
      </c>
      <c r="M197">
        <v>25.43</v>
      </c>
      <c r="N197">
        <v>0.10638</v>
      </c>
      <c r="O197" s="5">
        <v>13.71056154149</v>
      </c>
      <c r="P197" s="6">
        <v>81</v>
      </c>
      <c r="Q197" s="1" t="s">
        <v>24</v>
      </c>
      <c r="R197" s="1" t="s">
        <v>32</v>
      </c>
      <c r="S197" s="7" cm="1">
        <f t="array" ref="S197">_xlfn.SWITCH(tblSMB[[#This Row],[segment]],
"At Risk",1,
"Ops Constrained",2,
"Ad Inefficient",3,
"High Potential",4,
"Core",5,99)</f>
        <v>4</v>
      </c>
      <c r="T197" s="7" t="str" cm="1">
        <f t="array" ref="T197">_xlfn.SWITCH(tblSMB[[#This Row],[segment]],
"At Risk","48 hours",
"Ops Constrained","72 hours",
"Ad Inefficient","1 week",
"High Potential","1 week",
"Core","2 weeks","")</f>
        <v>1 week</v>
      </c>
      <c r="U197" s="9" t="str">
        <f>IF(AND(tblSMB[[#This Row],[segment]]&lt;&gt;"Ad Inefficient",tblSMB[[#This Row],[roas]]&lt;10),"Check: Low ROAS not flagged","")</f>
        <v/>
      </c>
      <c r="V197" s="10" t="s">
        <v>33</v>
      </c>
      <c r="W197" s="10" t="s">
        <v>34</v>
      </c>
      <c r="X197" s="10" t="s">
        <v>35</v>
      </c>
      <c r="Y197" s="2"/>
      <c r="AA197" s="1"/>
    </row>
    <row r="198" spans="1:27" ht="34" x14ac:dyDescent="0.2">
      <c r="A198" s="1" t="s">
        <v>29</v>
      </c>
      <c r="B198" s="11">
        <v>46027</v>
      </c>
      <c r="C198" s="1" t="s">
        <v>30</v>
      </c>
      <c r="D198" s="1" t="s">
        <v>31</v>
      </c>
      <c r="E198">
        <v>136</v>
      </c>
      <c r="F198">
        <v>2229.11</v>
      </c>
      <c r="G198">
        <v>603</v>
      </c>
      <c r="H198" s="4">
        <v>-1.3089999999999999E-2</v>
      </c>
      <c r="I198" s="3">
        <v>3.6760000000000001E-2</v>
      </c>
      <c r="J198" s="3">
        <v>1.4710000000000001E-2</v>
      </c>
      <c r="K198">
        <v>20.79</v>
      </c>
      <c r="L198">
        <v>4.8099999999999996</v>
      </c>
      <c r="M198">
        <v>8.56</v>
      </c>
      <c r="N198">
        <v>9.5589999999999994E-2</v>
      </c>
      <c r="O198" s="5">
        <v>24.892137266359999</v>
      </c>
      <c r="P198" s="6">
        <v>84</v>
      </c>
      <c r="Q198" s="1" t="s">
        <v>24</v>
      </c>
      <c r="R198" s="1" t="s">
        <v>32</v>
      </c>
      <c r="S198" s="7" cm="1">
        <f t="array" ref="S198">_xlfn.SWITCH(tblSMB[[#This Row],[segment]],
"At Risk",1,
"Ops Constrained",2,
"Ad Inefficient",3,
"High Potential",4,
"Core",5,99)</f>
        <v>4</v>
      </c>
      <c r="T198" s="7" t="str" cm="1">
        <f t="array" ref="T198">_xlfn.SWITCH(tblSMB[[#This Row],[segment]],
"At Risk","48 hours",
"Ops Constrained","72 hours",
"Ad Inefficient","1 week",
"High Potential","1 week",
"Core","2 weeks","")</f>
        <v>1 week</v>
      </c>
      <c r="U198" s="9" t="str">
        <f>IF(AND(tblSMB[[#This Row],[segment]]&lt;&gt;"Ad Inefficient",tblSMB[[#This Row],[roas]]&lt;10),"Check: Low ROAS not flagged","")</f>
        <v/>
      </c>
      <c r="V198" s="10" t="s">
        <v>33</v>
      </c>
      <c r="W198" s="10" t="s">
        <v>34</v>
      </c>
      <c r="X198" s="10" t="s">
        <v>35</v>
      </c>
      <c r="Y198" s="2"/>
      <c r="AA198" s="1"/>
    </row>
    <row r="199" spans="1:27" ht="34" x14ac:dyDescent="0.2">
      <c r="A199" s="1" t="s">
        <v>146</v>
      </c>
      <c r="B199" s="11">
        <v>46027</v>
      </c>
      <c r="C199" s="1" t="s">
        <v>57</v>
      </c>
      <c r="D199" s="1" t="s">
        <v>38</v>
      </c>
      <c r="E199">
        <v>165</v>
      </c>
      <c r="F199">
        <v>4981.75</v>
      </c>
      <c r="G199">
        <v>600</v>
      </c>
      <c r="H199" s="4">
        <v>8.8929999999999995E-2</v>
      </c>
      <c r="I199" s="3">
        <v>3.6360000000000003E-2</v>
      </c>
      <c r="J199" s="3">
        <v>1.2120000000000001E-2</v>
      </c>
      <c r="K199">
        <v>32.04</v>
      </c>
      <c r="L199">
        <v>4.99</v>
      </c>
      <c r="M199">
        <v>28.25</v>
      </c>
      <c r="N199">
        <v>0.15758</v>
      </c>
      <c r="O199" s="5">
        <v>27.787717663719999</v>
      </c>
      <c r="P199" s="6">
        <v>84</v>
      </c>
      <c r="Q199" s="1" t="s">
        <v>24</v>
      </c>
      <c r="R199" s="1" t="s">
        <v>25</v>
      </c>
      <c r="S199" s="7" cm="1">
        <f t="array" ref="S199">_xlfn.SWITCH(tblSMB[[#This Row],[segment]],
"At Risk",1,
"Ops Constrained",2,
"Ad Inefficient",3,
"High Potential",4,
"Core",5,99)</f>
        <v>5</v>
      </c>
      <c r="T199" s="7" t="str" cm="1">
        <f t="array" ref="T199">_xlfn.SWITCH(tblSMB[[#This Row],[segment]],
"At Risk","48 hours",
"Ops Constrained","72 hours",
"Ad Inefficient","1 week",
"High Potential","1 week",
"Core","2 weeks","")</f>
        <v>2 weeks</v>
      </c>
      <c r="U199" s="9" t="str">
        <f>IF(AND(tblSMB[[#This Row],[segment]]&lt;&gt;"Ad Inefficient",tblSMB[[#This Row],[roas]]&lt;10),"Check: Low ROAS not flagged","")</f>
        <v/>
      </c>
      <c r="V199" s="10" t="s">
        <v>26</v>
      </c>
      <c r="W199" s="10" t="s">
        <v>27</v>
      </c>
      <c r="X199" s="10" t="s">
        <v>28</v>
      </c>
      <c r="Y199" s="2"/>
      <c r="AA199" s="1"/>
    </row>
    <row r="200" spans="1:27" ht="34" x14ac:dyDescent="0.2">
      <c r="A200" s="1" t="s">
        <v>93</v>
      </c>
      <c r="B200" s="11">
        <v>46027</v>
      </c>
      <c r="C200" s="1" t="s">
        <v>50</v>
      </c>
      <c r="D200" s="1" t="s">
        <v>43</v>
      </c>
      <c r="E200">
        <v>159</v>
      </c>
      <c r="F200">
        <v>5188.74</v>
      </c>
      <c r="G200">
        <v>587</v>
      </c>
      <c r="H200" s="4">
        <v>3.1629999999999998E-2</v>
      </c>
      <c r="I200" s="3">
        <v>4.403E-2</v>
      </c>
      <c r="J200" s="3">
        <v>1.8870000000000001E-2</v>
      </c>
      <c r="K200">
        <v>22.2</v>
      </c>
      <c r="L200">
        <v>4.9800000000000004</v>
      </c>
      <c r="M200">
        <v>15.49</v>
      </c>
      <c r="N200">
        <v>0.13836000000000001</v>
      </c>
      <c r="O200" s="5">
        <v>46.348539057460002</v>
      </c>
      <c r="P200" s="6">
        <v>85</v>
      </c>
      <c r="Q200" s="1" t="s">
        <v>24</v>
      </c>
      <c r="R200" s="1" t="s">
        <v>32</v>
      </c>
      <c r="S200" s="7" cm="1">
        <f t="array" ref="S200">_xlfn.SWITCH(tblSMB[[#This Row],[segment]],
"At Risk",1,
"Ops Constrained",2,
"Ad Inefficient",3,
"High Potential",4,
"Core",5,99)</f>
        <v>4</v>
      </c>
      <c r="T200" s="7" t="str" cm="1">
        <f t="array" ref="T200">_xlfn.SWITCH(tblSMB[[#This Row],[segment]],
"At Risk","48 hours",
"Ops Constrained","72 hours",
"Ad Inefficient","1 week",
"High Potential","1 week",
"Core","2 weeks","")</f>
        <v>1 week</v>
      </c>
      <c r="U200" s="9" t="str">
        <f>IF(AND(tblSMB[[#This Row],[segment]]&lt;&gt;"Ad Inefficient",tblSMB[[#This Row],[roas]]&lt;10),"Check: Low ROAS not flagged","")</f>
        <v/>
      </c>
      <c r="V200" s="10" t="s">
        <v>33</v>
      </c>
      <c r="W200" s="10" t="s">
        <v>34</v>
      </c>
      <c r="X200" s="10" t="s">
        <v>35</v>
      </c>
      <c r="Y200" s="2"/>
      <c r="AA200" s="1"/>
    </row>
    <row r="201" spans="1:27" ht="34" x14ac:dyDescent="0.2">
      <c r="A201" s="1" t="s">
        <v>155</v>
      </c>
      <c r="B201" s="11">
        <v>46027</v>
      </c>
      <c r="C201" s="1" t="s">
        <v>50</v>
      </c>
      <c r="D201" s="1" t="s">
        <v>58</v>
      </c>
      <c r="E201">
        <v>126</v>
      </c>
      <c r="F201">
        <v>2175.4699999999998</v>
      </c>
      <c r="G201">
        <v>539</v>
      </c>
      <c r="H201" s="4">
        <v>4.4569999999999999E-2</v>
      </c>
      <c r="I201" s="3">
        <v>2.3810000000000001E-2</v>
      </c>
      <c r="J201" s="3">
        <v>1.5869999999999999E-2</v>
      </c>
      <c r="K201">
        <v>23.21</v>
      </c>
      <c r="L201">
        <v>4.83</v>
      </c>
      <c r="M201">
        <v>30.61</v>
      </c>
      <c r="N201">
        <v>0.14285999999999999</v>
      </c>
      <c r="O201" s="5">
        <v>10.15293792878</v>
      </c>
      <c r="P201" s="6">
        <v>85</v>
      </c>
      <c r="Q201" s="1" t="s">
        <v>100</v>
      </c>
      <c r="R201" s="1" t="s">
        <v>32</v>
      </c>
      <c r="S201" s="7" cm="1">
        <f t="array" ref="S201">_xlfn.SWITCH(tblSMB[[#This Row],[segment]],
"At Risk",1,
"Ops Constrained",2,
"Ad Inefficient",3,
"High Potential",4,
"Core",5,99)</f>
        <v>4</v>
      </c>
      <c r="T201" s="7" t="str" cm="1">
        <f t="array" ref="T201">_xlfn.SWITCH(tblSMB[[#This Row],[segment]],
"At Risk","48 hours",
"Ops Constrained","72 hours",
"Ad Inefficient","1 week",
"High Potential","1 week",
"Core","2 weeks","")</f>
        <v>1 week</v>
      </c>
      <c r="U201" s="9" t="str">
        <f>IF(AND(tblSMB[[#This Row],[segment]]&lt;&gt;"Ad Inefficient",tblSMB[[#This Row],[roas]]&lt;10),"Check: Low ROAS not flagged","")</f>
        <v/>
      </c>
      <c r="V201" s="10" t="s">
        <v>33</v>
      </c>
      <c r="W201" s="10" t="s">
        <v>34</v>
      </c>
      <c r="X201" s="10" t="s">
        <v>35</v>
      </c>
      <c r="Y201" s="2"/>
      <c r="AA201" s="1"/>
    </row>
  </sheetData>
  <phoneticPr fontId="1" type="noConversion"/>
  <conditionalFormatting sqref="R2:R201">
    <cfRule type="expression" dxfId="42" priority="1">
      <formula>$R2="At Risk"</formula>
    </cfRule>
    <cfRule type="expression" dxfId="41" priority="2">
      <formula>$R2="Ops Constrained"</formula>
    </cfRule>
    <cfRule type="expression" dxfId="40" priority="3">
      <formula>$R2="Ad Inefficient"</formula>
    </cfRule>
    <cfRule type="expression" dxfId="39" priority="4">
      <formula>$R2="High Potential"</formula>
    </cfRule>
    <cfRule type="expression" dxfId="38" priority="7">
      <formula>$R2="Core"</formula>
    </cfRule>
  </conditionalFormatting>
  <dataValidations count="1">
    <dataValidation type="list" allowBlank="1" showInputMessage="1" showErrorMessage="1" sqref="AA1 Z2:Z201 Y202:Y1048576" xr:uid="{455C1E80-8D82-C340-AEBF-0C2DA3B4C514}">
      <formula1>"Not started,In progress,Done"</formula1>
    </dataValidation>
  </dataValidation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E857C7E-4AA0-7949-A557-AACC4A9CEA3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SMB Summary</vt:lpstr>
      <vt:lpstr>tblSMB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Rutuja Hande</dc:creator>
  <cp:lastModifiedBy>Rutuja Hande</cp:lastModifiedBy>
  <dcterms:created xsi:type="dcterms:W3CDTF">2026-01-14T00:01:15Z</dcterms:created>
  <dcterms:modified xsi:type="dcterms:W3CDTF">2026-01-14T04:22:27Z</dcterms:modified>
</cp:coreProperties>
</file>